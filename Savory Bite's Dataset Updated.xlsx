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Darl\Desktop\Rosemary\Practice Data\"/>
    </mc:Choice>
  </mc:AlternateContent>
  <xr:revisionPtr revIDLastSave="0" documentId="8_{350741D9-B5E0-4B4A-BB11-7999FEACD15C}" xr6:coauthVersionLast="47" xr6:coauthVersionMax="47" xr10:uidLastSave="{00000000-0000-0000-0000-000000000000}"/>
  <bookViews>
    <workbookView xWindow="-107" yWindow="-107" windowWidth="20847" windowHeight="11820" firstSheet="7" activeTab="11" xr2:uid="{071747EC-9DF3-4B7D-866E-11602C9E06A6}"/>
  </bookViews>
  <sheets>
    <sheet name="9. Sales-Data-Analysis" sheetId="1" r:id="rId1"/>
    <sheet name="Product by amount" sheetId="5" r:id="rId2"/>
    <sheet name="Purchase Type by Amount" sheetId="8" r:id="rId3"/>
    <sheet name="Payment method by amount" sheetId="9" r:id="rId4"/>
    <sheet name="Performance by Manager" sheetId="10" r:id="rId5"/>
    <sheet name="Performance by City" sheetId="11" r:id="rId6"/>
    <sheet name="Monthly Sales" sheetId="12" r:id="rId7"/>
    <sheet name="Weekly Sales Trends" sheetId="13" r:id="rId8"/>
    <sheet name="Cleaned Data" sheetId="2" r:id="rId9"/>
    <sheet name="Pre-Analysis Board" sheetId="3" r:id="rId10"/>
    <sheet name="In-Analysis Board " sheetId="18" r:id="rId11"/>
    <sheet name="Dashboard" sheetId="14" r:id="rId12"/>
    <sheet name="Observations" sheetId="4" r:id="rId13"/>
    <sheet name="Recommendations" sheetId="17" r:id="rId14"/>
  </sheets>
  <definedNames>
    <definedName name="Slicer_City">#N/A</definedName>
    <definedName name="Slicer_Manager">#N/A</definedName>
    <definedName name="Slicer_Months">#N/A</definedName>
    <definedName name="Slicer_Purchase_Type">#N/A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alcChain>
</file>

<file path=xl/sharedStrings.xml><?xml version="1.0" encoding="utf-8"?>
<sst xmlns="http://schemas.openxmlformats.org/spreadsheetml/2006/main" count="2617" uniqueCount="59">
  <si>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</si>
  <si>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</si>
  <si>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</si>
  <si>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</si>
  <si>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</si>
  <si>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</si>
  <si>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</si>
  <si>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</si>
  <si>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</si>
  <si>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</si>
  <si>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</si>
  <si>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</si>
  <si>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</si>
  <si>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</si>
  <si>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</si>
  <si>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</si>
  <si>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</si>
  <si>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</si>
  <si>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</si>
  <si>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</si>
  <si>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</si>
  <si>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</si>
  <si>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</si>
  <si>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</si>
  <si>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</si>
  <si>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</si>
  <si>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</si>
  <si>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</si>
  <si>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</si>
  <si>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</si>
  <si>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</si>
  <si>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</si>
  <si>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</si>
  <si>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</si>
  <si>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</si>
  <si>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</si>
  <si>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</si>
  <si>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</si>
  <si>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</si>
  <si>
    <t>Months</t>
  </si>
  <si>
    <t>Days</t>
  </si>
  <si>
    <t>Total Amount</t>
  </si>
  <si>
    <t>Row Labels</t>
  </si>
  <si>
    <t>Grand Total</t>
  </si>
  <si>
    <t>Sum of Total Amount</t>
  </si>
  <si>
    <t>Nov</t>
  </si>
  <si>
    <t>Dec</t>
  </si>
  <si>
    <t>Mon</t>
  </si>
  <si>
    <t>Tue</t>
  </si>
  <si>
    <t>Wed</t>
  </si>
  <si>
    <t>Thu</t>
  </si>
  <si>
    <t>Fri</t>
  </si>
  <si>
    <t>Sat</t>
  </si>
  <si>
    <t>Sun</t>
  </si>
  <si>
    <t>#5A7E8C</t>
  </si>
  <si>
    <t>#7799A6</t>
  </si>
  <si>
    <t>#9FB6BF</t>
  </si>
  <si>
    <t>#BFD1D9</t>
  </si>
  <si>
    <t>#EBF1F2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</si>
</sst>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09]#,##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rgb="FF5A7E8C"/>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13" fillId="33" borderId="0" xfId="0" applyFont="1" applyFill="1"/>
    <xf numFmtId="164" fontId="13" fillId="33" borderId="0" xfId="0" applyNumberFormat="1" applyFont="1" applyFill="1"/>
    <xf numFmtId="164" fontId="0" fillId="0" borderId="0" xfId="0" applyNumberFormat="1"/>
    <xf numFmtId="0" fontId="16" fillId="0" borderId="0" xfId="0" applyFont="1" applyAlignment="1">
      <alignment horizontal="center"/>
    </xf>
    <xf numFmtId="2" fontId="13" fillId="33" borderId="0" xfId="0" applyNumberFormat="1" applyFont="1" applyFill="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4" fillId="0" borderId="0" xfId="0" applyFont="1"/>
    <xf numFmtId="0" fontId="0" fillId="34" borderId="0" xfId="0" applyFill="1"/>
    <xf numFmtId="0" fontId="16" fillId="0" borderId="10" xfId="0" applyFont="1" applyBorder="1" applyAlignment="1">
      <alignment horizontal="left"/>
    </xf>
    <xf numFmtId="164" fontId="16" fillId="0" borderId="10"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numFmt numFmtId="0" formatCode="General"/>
    </dxf>
    <dxf>
      <numFmt numFmtId="164" formatCode="[$$-1009]#,##0.00"/>
    </dxf>
    <dxf>
      <numFmt numFmtId="2" formatCode="0.00"/>
    </dxf>
    <dxf>
      <numFmt numFmtId="164" formatCode="[$$-1009]#,##0.00"/>
    </dxf>
    <dxf>
      <numFmt numFmtId="19" formatCode="dd/mm/yyyy"/>
    </dxf>
    <dxf>
      <font>
        <b/>
        <i val="0"/>
        <strike val="0"/>
        <condense val="0"/>
        <extend val="0"/>
        <outline val="0"/>
        <shadow val="0"/>
        <u val="none"/>
        <vertAlign val="baseline"/>
        <sz val="11"/>
        <color theme="0"/>
        <name val="Aptos Narrow"/>
        <family val="2"/>
        <scheme val="minor"/>
      </font>
      <fill>
        <patternFill patternType="solid">
          <fgColor indexed="64"/>
          <bgColor rgb="FF0070C0"/>
        </patternFill>
      </fill>
    </dxf>
    <dxf>
      <fill>
        <patternFill>
          <fgColor rgb="FF5A7E8C"/>
          <bgColor rgb="FF5A7E8C"/>
        </patternFill>
      </fill>
    </dxf>
    <dxf>
      <font>
        <color rgb="FFEBF1F2"/>
      </font>
      <border>
        <bottom style="thin">
          <color theme="4"/>
        </bottom>
        <vertical/>
        <horizontal/>
      </border>
    </dxf>
    <dxf>
      <font>
        <color rgb="FFEBF1F2"/>
      </font>
      <fill>
        <patternFill>
          <fgColor rgb="FF5A7E8C"/>
          <bgColor rgb="FF5A7E8C"/>
        </patternFill>
      </fill>
      <border diagonalUp="0" diagonalDown="0">
        <left/>
        <right/>
        <top/>
        <bottom/>
        <vertical/>
        <horizontal/>
      </border>
    </dxf>
  </dxfs>
  <tableStyles count="2" defaultTableStyle="TableStyleMedium2" defaultPivotStyle="PivotStyleLight16">
    <tableStyle name="Sales DD" pivot="0" table="0" count="10" xr9:uid="{2C298B8E-A84C-4BA1-8D78-176AE3BA53E6}">
      <tableStyleElement type="wholeTable" dxfId="9"/>
      <tableStyleElement type="headerRow" dxfId="8"/>
    </tableStyle>
    <tableStyle name="Table Style 1" pivot="0" count="1" xr9:uid="{A98473BA-9A84-4316-BD77-33D022975718}">
      <tableStyleElement type="wholeTable" dxfId="7"/>
    </tableStyle>
  </tableStyles>
  <colors>
    <mruColors>
      <color rgb="FF9FB6BF"/>
      <color rgb="FF5A7E8C"/>
      <color rgb="FFEBF1F2"/>
      <color rgb="FF7799A6"/>
      <color rgb="FFF5F8F9"/>
      <color rgb="FFBFD1D9"/>
      <color rgb="FF05C7F2"/>
      <color rgb="FF05AFF2"/>
      <color rgb="FF0339A6"/>
      <color rgb="FF01164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5A7E8C"/>
          </font>
          <fill>
            <patternFill patternType="solid">
              <fgColor rgb="FFEBF1F2"/>
              <bgColor rgb="FFEBF1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ales D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Updated.xlsx]Product by amount!PivotTable1</c:name>
    <c:fmtId val="0"/>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Product by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A7E8C"/>
          </a:solidFill>
          <a:ln>
            <a:noFill/>
          </a:ln>
          <a:effectLst/>
        </c:spPr>
      </c:pivotFmt>
      <c:pivotFmt>
        <c:idx val="2"/>
        <c:spPr>
          <a:solidFill>
            <a:srgbClr val="7799A6"/>
          </a:solidFill>
          <a:ln>
            <a:noFill/>
          </a:ln>
          <a:effectLst/>
        </c:spPr>
      </c:pivotFmt>
      <c:pivotFmt>
        <c:idx val="3"/>
        <c:spPr>
          <a:solidFill>
            <a:srgbClr val="9FB6BF"/>
          </a:solidFill>
          <a:ln>
            <a:noFill/>
          </a:ln>
          <a:effectLst/>
        </c:spPr>
      </c:pivotFmt>
      <c:pivotFmt>
        <c:idx val="4"/>
        <c:spPr>
          <a:solidFill>
            <a:srgbClr val="BFD1D9"/>
          </a:solidFill>
          <a:ln>
            <a:noFill/>
          </a:ln>
          <a:effectLst/>
        </c:spPr>
      </c:pivotFmt>
      <c:pivotFmt>
        <c:idx val="5"/>
        <c:spPr>
          <a:solidFill>
            <a:srgbClr val="EBF1F2"/>
          </a:solidFill>
          <a:ln>
            <a:noFill/>
          </a:ln>
          <a:effectLst/>
        </c:spPr>
      </c:pivotFmt>
    </c:pivotFmts>
    <c:plotArea>
      <c:layout/>
      <c:barChart>
        <c:barDir val="col"/>
        <c:grouping val="clustered"/>
        <c:varyColors val="0"/>
        <c:ser>
          <c:idx val="0"/>
          <c:order val="0"/>
          <c:tx>
            <c:strRef>
              <c:f>'Product by amount'!$B$3</c:f>
              <c:strCache>
                <c:ptCount val="1"/>
                <c:pt idx="0">
                  <c:v>Total</c:v>
                </c:pt>
              </c:strCache>
            </c:strRef>
          </c:tx>
          <c:spPr>
            <a:solidFill>
              <a:srgbClr val="9FD6FF"/>
            </a:solidFill>
            <a:ln>
              <a:noFill/>
            </a:ln>
            <a:effectLst/>
          </c:spPr>
          <c:invertIfNegative val="0"/>
          <c:dPt>
            <c:idx val="0"/>
            <c:invertIfNegative val="0"/>
            <c:bubble3D val="0"/>
            <c:spPr>
              <a:solidFill>
                <a:srgbClr val="5A7E8C"/>
              </a:solidFill>
              <a:ln>
                <a:noFill/>
              </a:ln>
              <a:effectLst/>
            </c:spPr>
            <c:extLst>
              <c:ext xmlns:c16="http://schemas.microsoft.com/office/drawing/2014/chart" uri="{C3380CC4-5D6E-409C-BE32-E72D297353CC}">
                <c16:uniqueId val="{00000002-5821-4F53-BD3D-31DC6240C8D6}"/>
              </c:ext>
            </c:extLst>
          </c:dPt>
          <c:dPt>
            <c:idx val="1"/>
            <c:invertIfNegative val="0"/>
            <c:bubble3D val="0"/>
            <c:spPr>
              <a:solidFill>
                <a:srgbClr val="7799A6"/>
              </a:solidFill>
              <a:ln>
                <a:noFill/>
              </a:ln>
              <a:effectLst/>
            </c:spPr>
            <c:extLst>
              <c:ext xmlns:c16="http://schemas.microsoft.com/office/drawing/2014/chart" uri="{C3380CC4-5D6E-409C-BE32-E72D297353CC}">
                <c16:uniqueId val="{00000003-5821-4F53-BD3D-31DC6240C8D6}"/>
              </c:ext>
            </c:extLst>
          </c:dPt>
          <c:dPt>
            <c:idx val="2"/>
            <c:invertIfNegative val="0"/>
            <c:bubble3D val="0"/>
            <c:spPr>
              <a:solidFill>
                <a:srgbClr val="9FB6BF"/>
              </a:solidFill>
              <a:ln>
                <a:noFill/>
              </a:ln>
              <a:effectLst/>
            </c:spPr>
            <c:extLst>
              <c:ext xmlns:c16="http://schemas.microsoft.com/office/drawing/2014/chart" uri="{C3380CC4-5D6E-409C-BE32-E72D297353CC}">
                <c16:uniqueId val="{00000004-5821-4F53-BD3D-31DC6240C8D6}"/>
              </c:ext>
            </c:extLst>
          </c:dPt>
          <c:dPt>
            <c:idx val="3"/>
            <c:invertIfNegative val="0"/>
            <c:bubble3D val="0"/>
            <c:spPr>
              <a:solidFill>
                <a:srgbClr val="BFD1D9"/>
              </a:solidFill>
              <a:ln>
                <a:noFill/>
              </a:ln>
              <a:effectLst/>
            </c:spPr>
            <c:extLst>
              <c:ext xmlns:c16="http://schemas.microsoft.com/office/drawing/2014/chart" uri="{C3380CC4-5D6E-409C-BE32-E72D297353CC}">
                <c16:uniqueId val="{00000005-5821-4F53-BD3D-31DC6240C8D6}"/>
              </c:ext>
            </c:extLst>
          </c:dPt>
          <c:dPt>
            <c:idx val="4"/>
            <c:invertIfNegative val="0"/>
            <c:bubble3D val="0"/>
            <c:spPr>
              <a:solidFill>
                <a:srgbClr val="EBF1F2"/>
              </a:solidFill>
              <a:ln>
                <a:noFill/>
              </a:ln>
              <a:effectLst/>
            </c:spPr>
            <c:extLst>
              <c:ext xmlns:c16="http://schemas.microsoft.com/office/drawing/2014/chart" uri="{C3380CC4-5D6E-409C-BE32-E72D297353CC}">
                <c16:uniqueId val="{00000008-B964-4D01-B886-4DA58E007227}"/>
              </c:ext>
            </c:extLst>
          </c:dPt>
          <c:dLbls>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by amount'!$A$4:$A$9</c:f>
              <c:strCache>
                <c:ptCount val="5"/>
                <c:pt idx="0">
                  <c:v>Burgers</c:v>
                </c:pt>
                <c:pt idx="1">
                  <c:v>Fries</c:v>
                </c:pt>
                <c:pt idx="2">
                  <c:v>Chicken Sandwiches</c:v>
                </c:pt>
                <c:pt idx="3">
                  <c:v>Beverages</c:v>
                </c:pt>
                <c:pt idx="4">
                  <c:v>Sides &amp; Other</c:v>
                </c:pt>
              </c:strCache>
            </c:strRef>
          </c:cat>
          <c:val>
            <c:numRef>
              <c:f>'Product by amount'!$B$4:$B$9</c:f>
              <c:numCache>
                <c:formatCode>[$$-1009]#,##0.00</c:formatCode>
                <c:ptCount val="5"/>
                <c:pt idx="0">
                  <c:v>376999.80689999991</c:v>
                </c:pt>
                <c:pt idx="1">
                  <c:v>125674.29029999988</c:v>
                </c:pt>
                <c:pt idx="2">
                  <c:v>114641.69500000002</c:v>
                </c:pt>
                <c:pt idx="3">
                  <c:v>103200.26299999992</c:v>
                </c:pt>
                <c:pt idx="4">
                  <c:v>48999.803999999967</c:v>
                </c:pt>
              </c:numCache>
            </c:numRef>
          </c:val>
          <c:extLst>
            <c:ext xmlns:c16="http://schemas.microsoft.com/office/drawing/2014/chart" uri="{C3380CC4-5D6E-409C-BE32-E72D297353CC}">
              <c16:uniqueId val="{00000000-5821-4F53-BD3D-31DC6240C8D6}"/>
            </c:ext>
          </c:extLst>
        </c:ser>
        <c:dLbls>
          <c:showLegendKey val="0"/>
          <c:showVal val="0"/>
          <c:showCatName val="0"/>
          <c:showSerName val="0"/>
          <c:showPercent val="0"/>
          <c:showBubbleSize val="0"/>
        </c:dLbls>
        <c:gapWidth val="20"/>
        <c:overlap val="-27"/>
        <c:axId val="585948688"/>
        <c:axId val="585954928"/>
      </c:barChart>
      <c:catAx>
        <c:axId val="58594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crossAx val="585954928"/>
        <c:crosses val="autoZero"/>
        <c:auto val="1"/>
        <c:lblAlgn val="ctr"/>
        <c:lblOffset val="100"/>
        <c:noMultiLvlLbl val="0"/>
      </c:catAx>
      <c:valAx>
        <c:axId val="585954928"/>
        <c:scaling>
          <c:orientation val="minMax"/>
        </c:scaling>
        <c:delete val="1"/>
        <c:axPos val="l"/>
        <c:numFmt formatCode="[$$-1009]#,##0.00" sourceLinked="1"/>
        <c:majorTickMark val="none"/>
        <c:minorTickMark val="none"/>
        <c:tickLblPos val="nextTo"/>
        <c:crossAx val="58594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Updated.xlsx]Purchase Type by Amount!PivotTable1</c:name>
    <c:fmtId val="1"/>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Purchase Type by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1CA6"/>
          </a:solidFill>
          <a:ln>
            <a:noFill/>
          </a:ln>
          <a:effectLst/>
        </c:spPr>
      </c:pivotFmt>
      <c:pivotFmt>
        <c:idx val="2"/>
        <c:spPr>
          <a:solidFill>
            <a:srgbClr val="0339A6"/>
          </a:solidFill>
          <a:ln>
            <a:noFill/>
          </a:ln>
          <a:effectLst/>
        </c:spPr>
      </c:pivotFmt>
      <c:pivotFmt>
        <c:idx val="3"/>
        <c:spPr>
          <a:solidFill>
            <a:srgbClr val="0468BF"/>
          </a:solidFill>
          <a:ln>
            <a:noFill/>
          </a:ln>
          <a:effectLst/>
        </c:spPr>
      </c:pivotFmt>
      <c:pivotFmt>
        <c:idx val="4"/>
        <c:spPr>
          <a:solidFill>
            <a:srgbClr val="049DD9"/>
          </a:solidFill>
          <a:ln>
            <a:noFill/>
          </a:ln>
          <a:effectLst/>
        </c:spPr>
      </c:pivotFmt>
      <c:pivotFmt>
        <c:idx val="5"/>
        <c:spPr>
          <a:solidFill>
            <a:srgbClr val="04B2D9"/>
          </a:solidFill>
          <a:ln>
            <a:noFill/>
          </a:ln>
          <a:effectLst/>
        </c:spPr>
      </c:pivotFmt>
      <c:pivotFmt>
        <c:idx val="6"/>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1CA6"/>
          </a:solidFill>
          <a:ln>
            <a:noFill/>
          </a:ln>
          <a:effectLst/>
        </c:spPr>
      </c:pivotFmt>
      <c:pivotFmt>
        <c:idx val="8"/>
        <c:spPr>
          <a:solidFill>
            <a:srgbClr val="0339A6"/>
          </a:solidFill>
          <a:ln>
            <a:noFill/>
          </a:ln>
          <a:effectLst/>
        </c:spPr>
      </c:pivotFmt>
      <c:pivotFmt>
        <c:idx val="9"/>
        <c:spPr>
          <a:solidFill>
            <a:srgbClr val="0468BF"/>
          </a:solidFill>
          <a:ln>
            <a:noFill/>
          </a:ln>
          <a:effectLst/>
        </c:spPr>
      </c:pivotFmt>
      <c:pivotFmt>
        <c:idx val="10"/>
        <c:spPr>
          <a:solidFill>
            <a:srgbClr val="049DD9"/>
          </a:solidFill>
          <a:ln>
            <a:noFill/>
          </a:ln>
          <a:effectLst/>
        </c:spPr>
      </c:pivotFmt>
      <c:pivotFmt>
        <c:idx val="11"/>
        <c:spPr>
          <a:solidFill>
            <a:srgbClr val="04B2D9"/>
          </a:solidFill>
          <a:ln>
            <a:noFill/>
          </a:ln>
          <a:effectLst/>
        </c:spPr>
      </c:pivotFmt>
      <c:pivotFmt>
        <c:idx val="12"/>
        <c:spPr>
          <a:solidFill>
            <a:srgbClr val="5A7E8C"/>
          </a:solidFill>
          <a:ln>
            <a:solidFill>
              <a:schemeClr val="bg1"/>
            </a:solidFill>
          </a:ln>
          <a:effectLst/>
        </c:spPr>
        <c:dLbl>
          <c:idx val="0"/>
          <c:layout>
            <c:manualLayout>
              <c:x val="0.1111111111111111"/>
              <c:y val="-2.7777777777777776E-2"/>
            </c:manualLayout>
          </c:layout>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799A6"/>
          </a:solidFill>
          <a:ln>
            <a:solidFill>
              <a:schemeClr val="bg1"/>
            </a:solidFill>
          </a:ln>
          <a:effectLst/>
        </c:spPr>
        <c:dLbl>
          <c:idx val="0"/>
          <c:layout>
            <c:manualLayout>
              <c:x val="-0.1"/>
              <c:y val="9.7222222222222224E-2"/>
            </c:manualLayout>
          </c:layout>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FB6BF"/>
          </a:solidFill>
          <a:ln>
            <a:solidFill>
              <a:schemeClr val="bg1"/>
            </a:solidFill>
          </a:ln>
          <a:effectLst/>
        </c:spPr>
        <c:dLbl>
          <c:idx val="0"/>
          <c:layout>
            <c:manualLayout>
              <c:x val="-0.11944444444444449"/>
              <c:y val="-5.0925925925925972E-2"/>
            </c:manualLayout>
          </c:layout>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'Purchase Type by Amount'!$B$3</c:f>
              <c:strCache>
                <c:ptCount val="1"/>
                <c:pt idx="0">
                  <c:v>Total</c:v>
                </c:pt>
              </c:strCache>
            </c:strRef>
          </c:tx>
          <c:spPr>
            <a:solidFill>
              <a:srgbClr val="9FD6FF"/>
            </a:solidFill>
            <a:ln>
              <a:solidFill>
                <a:schemeClr val="bg1"/>
              </a:solidFill>
            </a:ln>
          </c:spPr>
          <c:dPt>
            <c:idx val="0"/>
            <c:bubble3D val="0"/>
            <c:spPr>
              <a:solidFill>
                <a:srgbClr val="5A7E8C"/>
              </a:solidFill>
              <a:ln>
                <a:solidFill>
                  <a:schemeClr val="bg1"/>
                </a:solidFill>
              </a:ln>
              <a:effectLst/>
            </c:spPr>
            <c:extLst>
              <c:ext xmlns:c16="http://schemas.microsoft.com/office/drawing/2014/chart" uri="{C3380CC4-5D6E-409C-BE32-E72D297353CC}">
                <c16:uniqueId val="{00000001-E914-4C99-B595-CFED33259AE7}"/>
              </c:ext>
            </c:extLst>
          </c:dPt>
          <c:dPt>
            <c:idx val="1"/>
            <c:bubble3D val="0"/>
            <c:spPr>
              <a:solidFill>
                <a:srgbClr val="7799A6"/>
              </a:solidFill>
              <a:ln>
                <a:solidFill>
                  <a:schemeClr val="bg1"/>
                </a:solidFill>
              </a:ln>
              <a:effectLst/>
            </c:spPr>
            <c:extLst>
              <c:ext xmlns:c16="http://schemas.microsoft.com/office/drawing/2014/chart" uri="{C3380CC4-5D6E-409C-BE32-E72D297353CC}">
                <c16:uniqueId val="{00000003-E914-4C99-B595-CFED33259AE7}"/>
              </c:ext>
            </c:extLst>
          </c:dPt>
          <c:dPt>
            <c:idx val="2"/>
            <c:bubble3D val="0"/>
            <c:spPr>
              <a:solidFill>
                <a:srgbClr val="9FB6BF"/>
              </a:solidFill>
              <a:ln>
                <a:solidFill>
                  <a:schemeClr val="bg1"/>
                </a:solidFill>
              </a:ln>
              <a:effectLst/>
            </c:spPr>
            <c:extLst>
              <c:ext xmlns:c16="http://schemas.microsoft.com/office/drawing/2014/chart" uri="{C3380CC4-5D6E-409C-BE32-E72D297353CC}">
                <c16:uniqueId val="{00000005-E914-4C99-B595-CFED33259AE7}"/>
              </c:ext>
            </c:extLst>
          </c:dPt>
          <c:dPt>
            <c:idx val="3"/>
            <c:bubble3D val="0"/>
            <c:spPr>
              <a:solidFill>
                <a:srgbClr val="9FD6FF"/>
              </a:solidFill>
              <a:ln>
                <a:solidFill>
                  <a:schemeClr val="bg1"/>
                </a:solidFill>
              </a:ln>
              <a:effectLst/>
            </c:spPr>
            <c:extLst>
              <c:ext xmlns:c16="http://schemas.microsoft.com/office/drawing/2014/chart" uri="{C3380CC4-5D6E-409C-BE32-E72D297353CC}">
                <c16:uniqueId val="{00000007-E914-4C99-B595-CFED33259AE7}"/>
              </c:ext>
            </c:extLst>
          </c:dPt>
          <c:dPt>
            <c:idx val="4"/>
            <c:bubble3D val="0"/>
            <c:spPr>
              <a:solidFill>
                <a:srgbClr val="9FD6FF"/>
              </a:solidFill>
              <a:ln>
                <a:solidFill>
                  <a:schemeClr val="bg1"/>
                </a:solidFill>
              </a:ln>
              <a:effectLst/>
            </c:spPr>
            <c:extLst>
              <c:ext xmlns:c16="http://schemas.microsoft.com/office/drawing/2014/chart" uri="{C3380CC4-5D6E-409C-BE32-E72D297353CC}">
                <c16:uniqueId val="{00000009-E914-4C99-B595-CFED33259AE7}"/>
              </c:ext>
            </c:extLst>
          </c:dPt>
          <c:dLbls>
            <c:dLbl>
              <c:idx val="0"/>
              <c:layout>
                <c:manualLayout>
                  <c:x val="0.1111111111111111"/>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14-4C99-B595-CFED33259AE7}"/>
                </c:ext>
              </c:extLst>
            </c:dLbl>
            <c:dLbl>
              <c:idx val="1"/>
              <c:layout>
                <c:manualLayout>
                  <c:x val="-0.1"/>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14-4C99-B595-CFED33259AE7}"/>
                </c:ext>
              </c:extLst>
            </c:dLbl>
            <c:dLbl>
              <c:idx val="2"/>
              <c:layout>
                <c:manualLayout>
                  <c:x val="-0.11944444444444449"/>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14-4C99-B595-CFED33259AE7}"/>
                </c:ext>
              </c:extLst>
            </c:dLbl>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'Purchase Type by Amount'!$A$4:$A$7</c:f>
              <c:strCache>
                <c:ptCount val="3"/>
                <c:pt idx="0">
                  <c:v>Online </c:v>
                </c:pt>
                <c:pt idx="1">
                  <c:v>In-store </c:v>
                </c:pt>
                <c:pt idx="2">
                  <c:v>Drive-thru </c:v>
                </c:pt>
              </c:strCache>
            </c:strRef>
          </c:cat>
          <c:val>
            <c:numRef>
              <c:f>'Purchase Type by Amount'!$B$4:$B$7</c:f>
              <c:numCache>
                <c:formatCode>0.00%</c:formatCode>
                <c:ptCount val="3"/>
                <c:pt idx="0">
                  <c:v>0.39661481066458038</c:v>
                </c:pt>
                <c:pt idx="1">
                  <c:v>0.37129059262928327</c:v>
                </c:pt>
                <c:pt idx="2">
                  <c:v>0.23209459670613636</c:v>
                </c:pt>
              </c:numCache>
            </c:numRef>
          </c:val>
          <c:extLst>
            <c:ext xmlns:c16="http://schemas.microsoft.com/office/drawing/2014/chart" uri="{C3380CC4-5D6E-409C-BE32-E72D297353CC}">
              <c16:uniqueId val="{0000000A-E914-4C99-B595-CFED33259AE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Updated.xlsx]Payment method by amount!PivotTable1</c:name>
    <c:fmtId val="3"/>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Payment Method by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1CA6"/>
          </a:solidFill>
          <a:ln>
            <a:noFill/>
          </a:ln>
          <a:effectLst/>
        </c:spPr>
      </c:pivotFmt>
      <c:pivotFmt>
        <c:idx val="2"/>
        <c:spPr>
          <a:solidFill>
            <a:srgbClr val="0339A6"/>
          </a:solidFill>
          <a:ln>
            <a:noFill/>
          </a:ln>
          <a:effectLst/>
        </c:spPr>
      </c:pivotFmt>
      <c:pivotFmt>
        <c:idx val="3"/>
        <c:spPr>
          <a:solidFill>
            <a:srgbClr val="0468BF"/>
          </a:solidFill>
          <a:ln>
            <a:noFill/>
          </a:ln>
          <a:effectLst/>
        </c:spPr>
      </c:pivotFmt>
      <c:pivotFmt>
        <c:idx val="4"/>
        <c:spPr>
          <a:solidFill>
            <a:srgbClr val="049DD9"/>
          </a:solidFill>
          <a:ln>
            <a:noFill/>
          </a:ln>
          <a:effectLst/>
        </c:spPr>
      </c:pivotFmt>
      <c:pivotFmt>
        <c:idx val="5"/>
        <c:spPr>
          <a:solidFill>
            <a:srgbClr val="04B2D9"/>
          </a:solidFill>
          <a:ln>
            <a:noFill/>
          </a:ln>
          <a:effectLst/>
        </c:spPr>
      </c:pivotFmt>
      <c:pivotFmt>
        <c:idx val="6"/>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1CA6"/>
          </a:solidFill>
          <a:ln>
            <a:noFill/>
          </a:ln>
          <a:effectLst/>
        </c:spPr>
      </c:pivotFmt>
      <c:pivotFmt>
        <c:idx val="8"/>
        <c:spPr>
          <a:solidFill>
            <a:srgbClr val="0339A6"/>
          </a:solidFill>
          <a:ln>
            <a:noFill/>
          </a:ln>
          <a:effectLst/>
        </c:spPr>
      </c:pivotFmt>
      <c:pivotFmt>
        <c:idx val="9"/>
        <c:spPr>
          <a:solidFill>
            <a:srgbClr val="0468BF"/>
          </a:solidFill>
          <a:ln>
            <a:noFill/>
          </a:ln>
          <a:effectLst/>
        </c:spPr>
      </c:pivotFmt>
      <c:pivotFmt>
        <c:idx val="10"/>
        <c:spPr>
          <a:solidFill>
            <a:srgbClr val="049DD9"/>
          </a:solidFill>
          <a:ln>
            <a:noFill/>
          </a:ln>
          <a:effectLst/>
        </c:spPr>
      </c:pivotFmt>
      <c:pivotFmt>
        <c:idx val="11"/>
        <c:spPr>
          <a:solidFill>
            <a:srgbClr val="04B2D9"/>
          </a:solidFill>
          <a:ln>
            <a:noFill/>
          </a:ln>
          <a:effectLst/>
        </c:spPr>
      </c:pivotFmt>
      <c:pivotFmt>
        <c:idx val="12"/>
        <c:spPr>
          <a:solidFill>
            <a:srgbClr val="5A7E8C"/>
          </a:solidFill>
          <a:ln>
            <a:solidFill>
              <a:schemeClr val="bg1"/>
            </a:solidFill>
          </a:ln>
          <a:effectLst/>
        </c:spPr>
      </c:pivotFmt>
      <c:pivotFmt>
        <c:idx val="13"/>
        <c:spPr>
          <a:solidFill>
            <a:srgbClr val="7799A6"/>
          </a:solidFill>
          <a:ln>
            <a:solidFill>
              <a:schemeClr val="bg1"/>
            </a:solidFill>
          </a:ln>
          <a:effectLst/>
        </c:spPr>
      </c:pivotFmt>
      <c:pivotFmt>
        <c:idx val="14"/>
        <c:spPr>
          <a:solidFill>
            <a:srgbClr val="9FB6BF"/>
          </a:solidFill>
          <a:ln>
            <a:solidFill>
              <a:schemeClr val="bg1"/>
            </a:solidFill>
          </a:ln>
          <a:effectLst/>
        </c:spPr>
      </c:pivotFmt>
      <c:pivotFmt>
        <c:idx val="1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A7E8C"/>
          </a:solidFill>
          <a:ln>
            <a:solidFill>
              <a:schemeClr val="bg1"/>
            </a:solidFill>
          </a:ln>
          <a:effectLst/>
        </c:spPr>
      </c:pivotFmt>
      <c:pivotFmt>
        <c:idx val="17"/>
        <c:spPr>
          <a:solidFill>
            <a:srgbClr val="7799A6"/>
          </a:solidFill>
          <a:ln>
            <a:solidFill>
              <a:schemeClr val="bg1"/>
            </a:solidFill>
          </a:ln>
          <a:effectLst/>
        </c:spPr>
      </c:pivotFmt>
      <c:pivotFmt>
        <c:idx val="18"/>
        <c:spPr>
          <a:solidFill>
            <a:srgbClr val="9FB6BF"/>
          </a:solidFill>
          <a:ln>
            <a:solidFill>
              <a:schemeClr val="bg1"/>
            </a:solidFill>
          </a:ln>
          <a:effectLst/>
        </c:spPr>
      </c:pivotFmt>
      <c:pivotFmt>
        <c:idx val="19"/>
        <c:spPr>
          <a:solidFill>
            <a:srgbClr val="5A7E8C">
              <a:alpha val="95000"/>
            </a:srgbClr>
          </a:solidFill>
          <a:ln>
            <a:solidFill>
              <a:schemeClr val="bg1">
                <a:alpha val="98000"/>
              </a:schemeClr>
            </a:solidFill>
          </a:ln>
          <a:effectLst/>
        </c:spPr>
      </c:pivotFmt>
      <c:pivotFmt>
        <c:idx val="20"/>
        <c:spPr>
          <a:solidFill>
            <a:srgbClr val="7799A6">
              <a:alpha val="95000"/>
            </a:srgbClr>
          </a:solidFill>
          <a:ln>
            <a:solidFill>
              <a:schemeClr val="bg1">
                <a:alpha val="98000"/>
              </a:schemeClr>
            </a:solidFill>
          </a:ln>
          <a:effectLst/>
        </c:spPr>
      </c:pivotFmt>
      <c:pivotFmt>
        <c:idx val="21"/>
        <c:spPr>
          <a:solidFill>
            <a:srgbClr val="9FB6BF">
              <a:alpha val="95000"/>
            </a:srgbClr>
          </a:solidFill>
          <a:ln>
            <a:solidFill>
              <a:schemeClr val="bg1">
                <a:alpha val="98000"/>
              </a:schemeClr>
            </a:solidFill>
          </a:ln>
          <a:effectLst/>
        </c:spPr>
      </c:pivotFmt>
    </c:pivotFmts>
    <c:plotArea>
      <c:layout/>
      <c:barChart>
        <c:barDir val="col"/>
        <c:grouping val="clustered"/>
        <c:varyColors val="0"/>
        <c:ser>
          <c:idx val="0"/>
          <c:order val="0"/>
          <c:tx>
            <c:strRef>
              <c:f>'Payment method by amount'!$B$3</c:f>
              <c:strCache>
                <c:ptCount val="1"/>
                <c:pt idx="0">
                  <c:v>Total</c:v>
                </c:pt>
              </c:strCache>
            </c:strRef>
          </c:tx>
          <c:spPr>
            <a:solidFill>
              <a:srgbClr val="9FD6FF">
                <a:alpha val="95000"/>
              </a:srgbClr>
            </a:solidFill>
            <a:ln>
              <a:solidFill>
                <a:schemeClr val="bg1">
                  <a:alpha val="98000"/>
                </a:schemeClr>
              </a:solidFill>
            </a:ln>
            <a:effectLst/>
          </c:spPr>
          <c:invertIfNegative val="0"/>
          <c:dPt>
            <c:idx val="0"/>
            <c:invertIfNegative val="0"/>
            <c:bubble3D val="0"/>
            <c:spPr>
              <a:solidFill>
                <a:srgbClr val="5A7E8C">
                  <a:alpha val="95000"/>
                </a:srgbClr>
              </a:solidFill>
              <a:ln>
                <a:solidFill>
                  <a:schemeClr val="bg1">
                    <a:alpha val="98000"/>
                  </a:schemeClr>
                </a:solidFill>
              </a:ln>
              <a:effectLst/>
            </c:spPr>
            <c:extLst>
              <c:ext xmlns:c16="http://schemas.microsoft.com/office/drawing/2014/chart" uri="{C3380CC4-5D6E-409C-BE32-E72D297353CC}">
                <c16:uniqueId val="{00000001-5630-4E98-A84F-588046962502}"/>
              </c:ext>
            </c:extLst>
          </c:dPt>
          <c:dPt>
            <c:idx val="1"/>
            <c:invertIfNegative val="0"/>
            <c:bubble3D val="0"/>
            <c:spPr>
              <a:solidFill>
                <a:srgbClr val="7799A6">
                  <a:alpha val="95000"/>
                </a:srgbClr>
              </a:solidFill>
              <a:ln>
                <a:solidFill>
                  <a:schemeClr val="bg1">
                    <a:alpha val="98000"/>
                  </a:schemeClr>
                </a:solidFill>
              </a:ln>
              <a:effectLst/>
            </c:spPr>
            <c:extLst>
              <c:ext xmlns:c16="http://schemas.microsoft.com/office/drawing/2014/chart" uri="{C3380CC4-5D6E-409C-BE32-E72D297353CC}">
                <c16:uniqueId val="{00000003-5630-4E98-A84F-588046962502}"/>
              </c:ext>
            </c:extLst>
          </c:dPt>
          <c:dPt>
            <c:idx val="2"/>
            <c:invertIfNegative val="0"/>
            <c:bubble3D val="0"/>
            <c:spPr>
              <a:solidFill>
                <a:srgbClr val="9FB6BF">
                  <a:alpha val="95000"/>
                </a:srgbClr>
              </a:solidFill>
              <a:ln>
                <a:solidFill>
                  <a:schemeClr val="bg1">
                    <a:alpha val="98000"/>
                  </a:schemeClr>
                </a:solidFill>
              </a:ln>
              <a:effectLst/>
            </c:spPr>
            <c:extLst>
              <c:ext xmlns:c16="http://schemas.microsoft.com/office/drawing/2014/chart" uri="{C3380CC4-5D6E-409C-BE32-E72D297353CC}">
                <c16:uniqueId val="{00000005-5630-4E98-A84F-588046962502}"/>
              </c:ext>
            </c:extLst>
          </c:dPt>
          <c:dLbls>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by amount'!$A$4:$A$7</c:f>
              <c:strCache>
                <c:ptCount val="3"/>
                <c:pt idx="0">
                  <c:v> Credit Card</c:v>
                </c:pt>
                <c:pt idx="1">
                  <c:v> Cash</c:v>
                </c:pt>
                <c:pt idx="2">
                  <c:v> Gift Card</c:v>
                </c:pt>
              </c:strCache>
            </c:strRef>
          </c:cat>
          <c:val>
            <c:numRef>
              <c:f>'Payment method by amount'!$B$4:$B$7</c:f>
              <c:numCache>
                <c:formatCode>[$$-1009]#,##0.00</c:formatCode>
                <c:ptCount val="3"/>
                <c:pt idx="0">
                  <c:v>361715.02650000021</c:v>
                </c:pt>
                <c:pt idx="1">
                  <c:v>239200.23550000007</c:v>
                </c:pt>
                <c:pt idx="2">
                  <c:v>168600.59719999996</c:v>
                </c:pt>
              </c:numCache>
            </c:numRef>
          </c:val>
          <c:extLst>
            <c:ext xmlns:c16="http://schemas.microsoft.com/office/drawing/2014/chart" uri="{C3380CC4-5D6E-409C-BE32-E72D297353CC}">
              <c16:uniqueId val="{0000000A-5630-4E98-A84F-588046962502}"/>
            </c:ext>
          </c:extLst>
        </c:ser>
        <c:dLbls>
          <c:showLegendKey val="0"/>
          <c:showVal val="0"/>
          <c:showCatName val="0"/>
          <c:showSerName val="0"/>
          <c:showPercent val="0"/>
          <c:showBubbleSize val="0"/>
        </c:dLbls>
        <c:gapWidth val="20"/>
        <c:axId val="2038585679"/>
        <c:axId val="2038582319"/>
      </c:barChart>
      <c:catAx>
        <c:axId val="203858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crossAx val="2038582319"/>
        <c:crosses val="autoZero"/>
        <c:auto val="1"/>
        <c:lblAlgn val="ctr"/>
        <c:lblOffset val="100"/>
        <c:noMultiLvlLbl val="0"/>
      </c:catAx>
      <c:valAx>
        <c:axId val="2038582319"/>
        <c:scaling>
          <c:orientation val="minMax"/>
        </c:scaling>
        <c:delete val="1"/>
        <c:axPos val="l"/>
        <c:numFmt formatCode="[$$-1009]#,##0.00" sourceLinked="1"/>
        <c:majorTickMark val="out"/>
        <c:minorTickMark val="none"/>
        <c:tickLblPos val="nextTo"/>
        <c:crossAx val="203858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Updated.xlsx]Performance by Manager!PivotTable1</c:name>
    <c:fmtId val="5"/>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Performance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1CA6"/>
          </a:solidFill>
          <a:ln>
            <a:noFill/>
          </a:ln>
          <a:effectLst/>
        </c:spPr>
      </c:pivotFmt>
      <c:pivotFmt>
        <c:idx val="2"/>
        <c:spPr>
          <a:solidFill>
            <a:srgbClr val="0339A6"/>
          </a:solidFill>
          <a:ln>
            <a:noFill/>
          </a:ln>
          <a:effectLst/>
        </c:spPr>
      </c:pivotFmt>
      <c:pivotFmt>
        <c:idx val="3"/>
        <c:spPr>
          <a:solidFill>
            <a:srgbClr val="0468BF"/>
          </a:solidFill>
          <a:ln>
            <a:noFill/>
          </a:ln>
          <a:effectLst/>
        </c:spPr>
      </c:pivotFmt>
      <c:pivotFmt>
        <c:idx val="4"/>
        <c:spPr>
          <a:solidFill>
            <a:srgbClr val="049DD9"/>
          </a:solidFill>
          <a:ln>
            <a:noFill/>
          </a:ln>
          <a:effectLst/>
        </c:spPr>
      </c:pivotFmt>
      <c:pivotFmt>
        <c:idx val="5"/>
        <c:spPr>
          <a:solidFill>
            <a:srgbClr val="04B2D9"/>
          </a:solidFill>
          <a:ln>
            <a:noFill/>
          </a:ln>
          <a:effectLst/>
        </c:spPr>
      </c:pivotFmt>
      <c:pivotFmt>
        <c:idx val="6"/>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1CA6"/>
          </a:solidFill>
          <a:ln>
            <a:noFill/>
          </a:ln>
          <a:effectLst/>
        </c:spPr>
      </c:pivotFmt>
      <c:pivotFmt>
        <c:idx val="8"/>
        <c:spPr>
          <a:solidFill>
            <a:srgbClr val="0339A6"/>
          </a:solidFill>
          <a:ln>
            <a:noFill/>
          </a:ln>
          <a:effectLst/>
        </c:spPr>
      </c:pivotFmt>
      <c:pivotFmt>
        <c:idx val="9"/>
        <c:spPr>
          <a:solidFill>
            <a:srgbClr val="0468BF"/>
          </a:solidFill>
          <a:ln>
            <a:noFill/>
          </a:ln>
          <a:effectLst/>
        </c:spPr>
      </c:pivotFmt>
      <c:pivotFmt>
        <c:idx val="10"/>
        <c:spPr>
          <a:solidFill>
            <a:srgbClr val="049DD9"/>
          </a:solidFill>
          <a:ln>
            <a:noFill/>
          </a:ln>
          <a:effectLst/>
        </c:spPr>
      </c:pivotFmt>
      <c:pivotFmt>
        <c:idx val="11"/>
        <c:spPr>
          <a:solidFill>
            <a:srgbClr val="04B2D9"/>
          </a:solidFill>
          <a:ln>
            <a:noFill/>
          </a:ln>
          <a:effectLst/>
        </c:spPr>
      </c:pivotFmt>
      <c:pivotFmt>
        <c:idx val="12"/>
        <c:spPr>
          <a:solidFill>
            <a:srgbClr val="5A7E8C"/>
          </a:solidFill>
          <a:ln>
            <a:solidFill>
              <a:schemeClr val="bg1"/>
            </a:solidFill>
          </a:ln>
          <a:effectLst/>
        </c:spPr>
      </c:pivotFmt>
      <c:pivotFmt>
        <c:idx val="13"/>
        <c:spPr>
          <a:solidFill>
            <a:srgbClr val="7799A6"/>
          </a:solidFill>
          <a:ln>
            <a:solidFill>
              <a:schemeClr val="bg1"/>
            </a:solidFill>
          </a:ln>
          <a:effectLst/>
        </c:spPr>
      </c:pivotFmt>
      <c:pivotFmt>
        <c:idx val="14"/>
        <c:spPr>
          <a:solidFill>
            <a:srgbClr val="9FB6BF"/>
          </a:solidFill>
          <a:ln>
            <a:solidFill>
              <a:schemeClr val="bg1"/>
            </a:solidFill>
          </a:ln>
          <a:effectLst/>
        </c:spPr>
      </c:pivotFmt>
      <c:pivotFmt>
        <c:idx val="1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A7E8C"/>
          </a:solidFill>
          <a:ln>
            <a:solidFill>
              <a:schemeClr val="bg1"/>
            </a:solidFill>
          </a:ln>
          <a:effectLst/>
        </c:spPr>
      </c:pivotFmt>
      <c:pivotFmt>
        <c:idx val="17"/>
        <c:spPr>
          <a:solidFill>
            <a:srgbClr val="7799A6"/>
          </a:solidFill>
          <a:ln>
            <a:solidFill>
              <a:schemeClr val="bg1"/>
            </a:solidFill>
          </a:ln>
          <a:effectLst/>
        </c:spPr>
      </c:pivotFmt>
      <c:pivotFmt>
        <c:idx val="18"/>
        <c:spPr>
          <a:solidFill>
            <a:srgbClr val="9FB6BF"/>
          </a:solidFill>
          <a:ln>
            <a:solidFill>
              <a:schemeClr val="bg1"/>
            </a:solidFill>
          </a:ln>
          <a:effectLst/>
        </c:spPr>
      </c:pivotFmt>
      <c:pivotFmt>
        <c:idx val="19"/>
        <c:spPr>
          <a:solidFill>
            <a:srgbClr val="5A7E8C">
              <a:alpha val="95000"/>
            </a:srgbClr>
          </a:solidFill>
          <a:ln>
            <a:solidFill>
              <a:schemeClr val="bg1">
                <a:alpha val="98000"/>
              </a:schemeClr>
            </a:solidFill>
          </a:ln>
          <a:effectLst/>
        </c:spPr>
      </c:pivotFmt>
      <c:pivotFmt>
        <c:idx val="20"/>
        <c:spPr>
          <a:solidFill>
            <a:srgbClr val="7799A6">
              <a:alpha val="95000"/>
            </a:srgbClr>
          </a:solidFill>
          <a:ln>
            <a:solidFill>
              <a:schemeClr val="bg1">
                <a:alpha val="98000"/>
              </a:schemeClr>
            </a:solidFill>
          </a:ln>
          <a:effectLst/>
        </c:spPr>
      </c:pivotFmt>
      <c:pivotFmt>
        <c:idx val="21"/>
        <c:spPr>
          <a:solidFill>
            <a:srgbClr val="9FB6BF">
              <a:alpha val="95000"/>
            </a:srgbClr>
          </a:solidFill>
          <a:ln>
            <a:solidFill>
              <a:schemeClr val="bg1">
                <a:alpha val="98000"/>
              </a:schemeClr>
            </a:solidFill>
          </a:ln>
          <a:effectLst/>
        </c:spPr>
      </c:pivotFmt>
      <c:pivotFmt>
        <c:idx val="22"/>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A7E8C">
              <a:alpha val="95000"/>
            </a:srgbClr>
          </a:solidFill>
          <a:ln>
            <a:solidFill>
              <a:schemeClr val="bg1">
                <a:alpha val="98000"/>
              </a:schemeClr>
            </a:solidFill>
          </a:ln>
          <a:effectLst/>
        </c:spPr>
      </c:pivotFmt>
      <c:pivotFmt>
        <c:idx val="24"/>
        <c:spPr>
          <a:solidFill>
            <a:srgbClr val="7799A6">
              <a:alpha val="95000"/>
            </a:srgbClr>
          </a:solidFill>
          <a:ln>
            <a:solidFill>
              <a:schemeClr val="bg1">
                <a:alpha val="98000"/>
              </a:schemeClr>
            </a:solidFill>
          </a:ln>
          <a:effectLst/>
        </c:spPr>
      </c:pivotFmt>
      <c:pivotFmt>
        <c:idx val="25"/>
        <c:spPr>
          <a:solidFill>
            <a:srgbClr val="9FB6BF">
              <a:alpha val="95000"/>
            </a:srgbClr>
          </a:solidFill>
          <a:ln>
            <a:solidFill>
              <a:schemeClr val="bg1">
                <a:alpha val="98000"/>
              </a:schemeClr>
            </a:solidFill>
          </a:ln>
          <a:effectLst/>
        </c:spPr>
      </c:pivotFmt>
      <c:pivotFmt>
        <c:idx val="26"/>
        <c:spPr>
          <a:solidFill>
            <a:srgbClr val="5A7E8C">
              <a:alpha val="95000"/>
            </a:srgbClr>
          </a:solidFill>
          <a:ln>
            <a:solidFill>
              <a:schemeClr val="bg1">
                <a:alpha val="98000"/>
              </a:schemeClr>
            </a:solidFill>
          </a:ln>
          <a:effectLst/>
        </c:spPr>
      </c:pivotFmt>
      <c:pivotFmt>
        <c:idx val="27"/>
        <c:spPr>
          <a:solidFill>
            <a:srgbClr val="7799A6">
              <a:alpha val="95000"/>
            </a:srgbClr>
          </a:solidFill>
          <a:ln>
            <a:solidFill>
              <a:schemeClr val="bg1">
                <a:alpha val="98000"/>
              </a:schemeClr>
            </a:solidFill>
          </a:ln>
          <a:effectLst/>
        </c:spPr>
      </c:pivotFmt>
      <c:pivotFmt>
        <c:idx val="28"/>
        <c:spPr>
          <a:solidFill>
            <a:srgbClr val="9FB6BF">
              <a:alpha val="95000"/>
            </a:srgbClr>
          </a:solidFill>
          <a:ln>
            <a:solidFill>
              <a:schemeClr val="bg1">
                <a:alpha val="98000"/>
              </a:schemeClr>
            </a:solidFill>
          </a:ln>
          <a:effectLst/>
        </c:spPr>
      </c:pivotFmt>
      <c:pivotFmt>
        <c:idx val="29"/>
        <c:spPr>
          <a:solidFill>
            <a:srgbClr val="BFD1D9">
              <a:alpha val="95000"/>
            </a:srgbClr>
          </a:solidFill>
          <a:ln>
            <a:solidFill>
              <a:schemeClr val="bg1">
                <a:alpha val="98000"/>
              </a:schemeClr>
            </a:solidFill>
          </a:ln>
          <a:effectLst/>
        </c:spPr>
      </c:pivotFmt>
      <c:pivotFmt>
        <c:idx val="30"/>
        <c:spPr>
          <a:solidFill>
            <a:srgbClr val="EBF1F2">
              <a:alpha val="95000"/>
            </a:srgbClr>
          </a:solidFill>
          <a:ln>
            <a:solidFill>
              <a:schemeClr val="bg1">
                <a:alpha val="98000"/>
              </a:schemeClr>
            </a:solidFill>
          </a:ln>
          <a:effectLst/>
        </c:spPr>
      </c:pivotFmt>
    </c:pivotFmts>
    <c:plotArea>
      <c:layout/>
      <c:barChart>
        <c:barDir val="bar"/>
        <c:grouping val="clustered"/>
        <c:varyColors val="0"/>
        <c:ser>
          <c:idx val="0"/>
          <c:order val="0"/>
          <c:tx>
            <c:strRef>
              <c:f>'Performance by Manager'!$B$3</c:f>
              <c:strCache>
                <c:ptCount val="1"/>
                <c:pt idx="0">
                  <c:v>Total</c:v>
                </c:pt>
              </c:strCache>
            </c:strRef>
          </c:tx>
          <c:spPr>
            <a:solidFill>
              <a:srgbClr val="9FD6FF">
                <a:alpha val="95000"/>
              </a:srgbClr>
            </a:solidFill>
            <a:ln>
              <a:solidFill>
                <a:schemeClr val="bg1">
                  <a:alpha val="98000"/>
                </a:schemeClr>
              </a:solidFill>
            </a:ln>
            <a:effectLst/>
          </c:spPr>
          <c:invertIfNegative val="0"/>
          <c:dPt>
            <c:idx val="0"/>
            <c:invertIfNegative val="0"/>
            <c:bubble3D val="0"/>
            <c:spPr>
              <a:solidFill>
                <a:srgbClr val="5A7E8C">
                  <a:alpha val="95000"/>
                </a:srgbClr>
              </a:solidFill>
              <a:ln>
                <a:solidFill>
                  <a:schemeClr val="bg1">
                    <a:alpha val="98000"/>
                  </a:schemeClr>
                </a:solidFill>
              </a:ln>
              <a:effectLst/>
            </c:spPr>
            <c:extLst>
              <c:ext xmlns:c16="http://schemas.microsoft.com/office/drawing/2014/chart" uri="{C3380CC4-5D6E-409C-BE32-E72D297353CC}">
                <c16:uniqueId val="{00000001-D7C7-4DB4-BBBA-4273FE0C598F}"/>
              </c:ext>
            </c:extLst>
          </c:dPt>
          <c:dPt>
            <c:idx val="1"/>
            <c:invertIfNegative val="0"/>
            <c:bubble3D val="0"/>
            <c:spPr>
              <a:solidFill>
                <a:srgbClr val="7799A6">
                  <a:alpha val="95000"/>
                </a:srgbClr>
              </a:solidFill>
              <a:ln>
                <a:solidFill>
                  <a:schemeClr val="bg1">
                    <a:alpha val="98000"/>
                  </a:schemeClr>
                </a:solidFill>
              </a:ln>
              <a:effectLst/>
            </c:spPr>
            <c:extLst>
              <c:ext xmlns:c16="http://schemas.microsoft.com/office/drawing/2014/chart" uri="{C3380CC4-5D6E-409C-BE32-E72D297353CC}">
                <c16:uniqueId val="{00000003-D7C7-4DB4-BBBA-4273FE0C598F}"/>
              </c:ext>
            </c:extLst>
          </c:dPt>
          <c:dPt>
            <c:idx val="2"/>
            <c:invertIfNegative val="0"/>
            <c:bubble3D val="0"/>
            <c:spPr>
              <a:solidFill>
                <a:srgbClr val="9FB6BF">
                  <a:alpha val="95000"/>
                </a:srgbClr>
              </a:solidFill>
              <a:ln>
                <a:solidFill>
                  <a:schemeClr val="bg1">
                    <a:alpha val="98000"/>
                  </a:schemeClr>
                </a:solidFill>
              </a:ln>
              <a:effectLst/>
            </c:spPr>
            <c:extLst>
              <c:ext xmlns:c16="http://schemas.microsoft.com/office/drawing/2014/chart" uri="{C3380CC4-5D6E-409C-BE32-E72D297353CC}">
                <c16:uniqueId val="{00000005-D7C7-4DB4-BBBA-4273FE0C598F}"/>
              </c:ext>
            </c:extLst>
          </c:dPt>
          <c:dPt>
            <c:idx val="3"/>
            <c:invertIfNegative val="0"/>
            <c:bubble3D val="0"/>
            <c:spPr>
              <a:solidFill>
                <a:srgbClr val="BFD1D9">
                  <a:alpha val="95000"/>
                </a:srgbClr>
              </a:solidFill>
              <a:ln>
                <a:solidFill>
                  <a:schemeClr val="bg1">
                    <a:alpha val="98000"/>
                  </a:schemeClr>
                </a:solidFill>
              </a:ln>
              <a:effectLst/>
            </c:spPr>
            <c:extLst>
              <c:ext xmlns:c16="http://schemas.microsoft.com/office/drawing/2014/chart" uri="{C3380CC4-5D6E-409C-BE32-E72D297353CC}">
                <c16:uniqueId val="{00000007-D7C7-4DB4-BBBA-4273FE0C598F}"/>
              </c:ext>
            </c:extLst>
          </c:dPt>
          <c:dPt>
            <c:idx val="4"/>
            <c:invertIfNegative val="0"/>
            <c:bubble3D val="0"/>
            <c:spPr>
              <a:solidFill>
                <a:srgbClr val="EBF1F2">
                  <a:alpha val="95000"/>
                </a:srgbClr>
              </a:solidFill>
              <a:ln>
                <a:solidFill>
                  <a:schemeClr val="bg1">
                    <a:alpha val="98000"/>
                  </a:schemeClr>
                </a:solidFill>
              </a:ln>
              <a:effectLst/>
            </c:spPr>
            <c:extLst>
              <c:ext xmlns:c16="http://schemas.microsoft.com/office/drawing/2014/chart" uri="{C3380CC4-5D6E-409C-BE32-E72D297353CC}">
                <c16:uniqueId val="{00000008-D7C7-4DB4-BBBA-4273FE0C598F}"/>
              </c:ext>
            </c:extLst>
          </c:dPt>
          <c:dLbls>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by Manager'!$A$4:$A$9</c:f>
              <c:strCache>
                <c:ptCount val="5"/>
                <c:pt idx="0">
                  <c:v>Joao Silva</c:v>
                </c:pt>
                <c:pt idx="1">
                  <c:v>Tom Jackson</c:v>
                </c:pt>
                <c:pt idx="2">
                  <c:v>Pablo Perez</c:v>
                </c:pt>
                <c:pt idx="3">
                  <c:v>Walter Muller</c:v>
                </c:pt>
                <c:pt idx="4">
                  <c:v>Remy Monet</c:v>
                </c:pt>
              </c:strCache>
            </c:strRef>
          </c:cat>
          <c:val>
            <c:numRef>
              <c:f>'Performance by Manager'!$B$4:$B$9</c:f>
              <c:numCache>
                <c:formatCode>[$$-1009]#,##0.00</c:formatCode>
                <c:ptCount val="5"/>
                <c:pt idx="0">
                  <c:v>241714.11570000008</c:v>
                </c:pt>
                <c:pt idx="1">
                  <c:v>211201.04059999986</c:v>
                </c:pt>
                <c:pt idx="2">
                  <c:v>136200.26649999997</c:v>
                </c:pt>
                <c:pt idx="3">
                  <c:v>100600.13129999998</c:v>
                </c:pt>
                <c:pt idx="4">
                  <c:v>79800.305099999983</c:v>
                </c:pt>
              </c:numCache>
            </c:numRef>
          </c:val>
          <c:extLst>
            <c:ext xmlns:c16="http://schemas.microsoft.com/office/drawing/2014/chart" uri="{C3380CC4-5D6E-409C-BE32-E72D297353CC}">
              <c16:uniqueId val="{00000006-D7C7-4DB4-BBBA-4273FE0C598F}"/>
            </c:ext>
          </c:extLst>
        </c:ser>
        <c:dLbls>
          <c:showLegendKey val="0"/>
          <c:showVal val="0"/>
          <c:showCatName val="0"/>
          <c:showSerName val="0"/>
          <c:showPercent val="0"/>
          <c:showBubbleSize val="0"/>
        </c:dLbls>
        <c:gapWidth val="20"/>
        <c:axId val="2038585679"/>
        <c:axId val="2038582319"/>
      </c:barChart>
      <c:catAx>
        <c:axId val="203858567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crossAx val="2038582319"/>
        <c:crosses val="autoZero"/>
        <c:auto val="1"/>
        <c:lblAlgn val="ctr"/>
        <c:lblOffset val="100"/>
        <c:noMultiLvlLbl val="0"/>
      </c:catAx>
      <c:valAx>
        <c:axId val="2038582319"/>
        <c:scaling>
          <c:orientation val="minMax"/>
        </c:scaling>
        <c:delete val="1"/>
        <c:axPos val="t"/>
        <c:numFmt formatCode="[$$-1009]#,##0.00" sourceLinked="1"/>
        <c:majorTickMark val="out"/>
        <c:minorTickMark val="none"/>
        <c:tickLblPos val="nextTo"/>
        <c:crossAx val="203858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Updated.xlsx]Performance by City!PivotTable1</c:name>
    <c:fmtId val="6"/>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Performance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1CA6"/>
          </a:solidFill>
          <a:ln>
            <a:noFill/>
          </a:ln>
          <a:effectLst/>
        </c:spPr>
      </c:pivotFmt>
      <c:pivotFmt>
        <c:idx val="2"/>
        <c:spPr>
          <a:solidFill>
            <a:srgbClr val="0339A6"/>
          </a:solidFill>
          <a:ln>
            <a:noFill/>
          </a:ln>
          <a:effectLst/>
        </c:spPr>
      </c:pivotFmt>
      <c:pivotFmt>
        <c:idx val="3"/>
        <c:spPr>
          <a:solidFill>
            <a:srgbClr val="0468BF"/>
          </a:solidFill>
          <a:ln>
            <a:noFill/>
          </a:ln>
          <a:effectLst/>
        </c:spPr>
      </c:pivotFmt>
      <c:pivotFmt>
        <c:idx val="4"/>
        <c:spPr>
          <a:solidFill>
            <a:srgbClr val="049DD9"/>
          </a:solidFill>
          <a:ln>
            <a:noFill/>
          </a:ln>
          <a:effectLst/>
        </c:spPr>
      </c:pivotFmt>
      <c:pivotFmt>
        <c:idx val="5"/>
        <c:spPr>
          <a:solidFill>
            <a:srgbClr val="04B2D9"/>
          </a:solidFill>
          <a:ln>
            <a:noFill/>
          </a:ln>
          <a:effectLst/>
        </c:spPr>
      </c:pivotFmt>
      <c:pivotFmt>
        <c:idx val="6"/>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1CA6"/>
          </a:solidFill>
          <a:ln>
            <a:noFill/>
          </a:ln>
          <a:effectLst/>
        </c:spPr>
      </c:pivotFmt>
      <c:pivotFmt>
        <c:idx val="8"/>
        <c:spPr>
          <a:solidFill>
            <a:srgbClr val="0339A6"/>
          </a:solidFill>
          <a:ln>
            <a:noFill/>
          </a:ln>
          <a:effectLst/>
        </c:spPr>
      </c:pivotFmt>
      <c:pivotFmt>
        <c:idx val="9"/>
        <c:spPr>
          <a:solidFill>
            <a:srgbClr val="0468BF"/>
          </a:solidFill>
          <a:ln>
            <a:noFill/>
          </a:ln>
          <a:effectLst/>
        </c:spPr>
      </c:pivotFmt>
      <c:pivotFmt>
        <c:idx val="10"/>
        <c:spPr>
          <a:solidFill>
            <a:srgbClr val="049DD9"/>
          </a:solidFill>
          <a:ln>
            <a:noFill/>
          </a:ln>
          <a:effectLst/>
        </c:spPr>
      </c:pivotFmt>
      <c:pivotFmt>
        <c:idx val="11"/>
        <c:spPr>
          <a:solidFill>
            <a:srgbClr val="04B2D9"/>
          </a:solidFill>
          <a:ln>
            <a:noFill/>
          </a:ln>
          <a:effectLst/>
        </c:spPr>
      </c:pivotFmt>
      <c:pivotFmt>
        <c:idx val="12"/>
        <c:spPr>
          <a:solidFill>
            <a:srgbClr val="5A7E8C"/>
          </a:solidFill>
          <a:ln>
            <a:solidFill>
              <a:schemeClr val="bg1"/>
            </a:solidFill>
          </a:ln>
          <a:effectLst/>
        </c:spPr>
      </c:pivotFmt>
      <c:pivotFmt>
        <c:idx val="13"/>
        <c:spPr>
          <a:solidFill>
            <a:srgbClr val="7799A6"/>
          </a:solidFill>
          <a:ln>
            <a:solidFill>
              <a:schemeClr val="bg1"/>
            </a:solidFill>
          </a:ln>
          <a:effectLst/>
        </c:spPr>
      </c:pivotFmt>
      <c:pivotFmt>
        <c:idx val="14"/>
        <c:spPr>
          <a:solidFill>
            <a:srgbClr val="9FB6BF"/>
          </a:solidFill>
          <a:ln>
            <a:solidFill>
              <a:schemeClr val="bg1"/>
            </a:solidFill>
          </a:ln>
          <a:effectLst/>
        </c:spPr>
      </c:pivotFmt>
      <c:pivotFmt>
        <c:idx val="1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A7E8C"/>
          </a:solidFill>
          <a:ln>
            <a:solidFill>
              <a:schemeClr val="bg1"/>
            </a:solidFill>
          </a:ln>
          <a:effectLst/>
        </c:spPr>
      </c:pivotFmt>
      <c:pivotFmt>
        <c:idx val="17"/>
        <c:spPr>
          <a:solidFill>
            <a:srgbClr val="7799A6"/>
          </a:solidFill>
          <a:ln>
            <a:solidFill>
              <a:schemeClr val="bg1"/>
            </a:solidFill>
          </a:ln>
          <a:effectLst/>
        </c:spPr>
      </c:pivotFmt>
      <c:pivotFmt>
        <c:idx val="18"/>
        <c:spPr>
          <a:solidFill>
            <a:srgbClr val="9FB6BF"/>
          </a:solidFill>
          <a:ln>
            <a:solidFill>
              <a:schemeClr val="bg1"/>
            </a:solidFill>
          </a:ln>
          <a:effectLst/>
        </c:spPr>
      </c:pivotFmt>
      <c:pivotFmt>
        <c:idx val="19"/>
        <c:spPr>
          <a:solidFill>
            <a:srgbClr val="5A7E8C">
              <a:alpha val="95000"/>
            </a:srgbClr>
          </a:solidFill>
          <a:ln>
            <a:solidFill>
              <a:schemeClr val="bg1">
                <a:alpha val="98000"/>
              </a:schemeClr>
            </a:solidFill>
          </a:ln>
          <a:effectLst/>
        </c:spPr>
      </c:pivotFmt>
      <c:pivotFmt>
        <c:idx val="20"/>
        <c:spPr>
          <a:solidFill>
            <a:srgbClr val="7799A6">
              <a:alpha val="95000"/>
            </a:srgbClr>
          </a:solidFill>
          <a:ln>
            <a:solidFill>
              <a:schemeClr val="bg1">
                <a:alpha val="98000"/>
              </a:schemeClr>
            </a:solidFill>
          </a:ln>
          <a:effectLst/>
        </c:spPr>
      </c:pivotFmt>
      <c:pivotFmt>
        <c:idx val="21"/>
        <c:spPr>
          <a:solidFill>
            <a:srgbClr val="9FB6BF">
              <a:alpha val="95000"/>
            </a:srgbClr>
          </a:solidFill>
          <a:ln>
            <a:solidFill>
              <a:schemeClr val="bg1">
                <a:alpha val="98000"/>
              </a:schemeClr>
            </a:solidFill>
          </a:ln>
          <a:effectLst/>
        </c:spPr>
      </c:pivotFmt>
      <c:pivotFmt>
        <c:idx val="22"/>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A7E8C">
              <a:alpha val="95000"/>
            </a:srgbClr>
          </a:solidFill>
          <a:ln>
            <a:solidFill>
              <a:schemeClr val="bg1">
                <a:alpha val="98000"/>
              </a:schemeClr>
            </a:solidFill>
          </a:ln>
          <a:effectLst/>
        </c:spPr>
      </c:pivotFmt>
      <c:pivotFmt>
        <c:idx val="24"/>
        <c:spPr>
          <a:solidFill>
            <a:srgbClr val="7799A6">
              <a:alpha val="95000"/>
            </a:srgbClr>
          </a:solidFill>
          <a:ln>
            <a:solidFill>
              <a:schemeClr val="bg1">
                <a:alpha val="98000"/>
              </a:schemeClr>
            </a:solidFill>
          </a:ln>
          <a:effectLst/>
        </c:spPr>
      </c:pivotFmt>
      <c:pivotFmt>
        <c:idx val="25"/>
        <c:spPr>
          <a:solidFill>
            <a:srgbClr val="9FB6BF">
              <a:alpha val="95000"/>
            </a:srgbClr>
          </a:solidFill>
          <a:ln>
            <a:solidFill>
              <a:schemeClr val="bg1">
                <a:alpha val="98000"/>
              </a:schemeClr>
            </a:solidFill>
          </a:ln>
          <a:effectLst/>
        </c:spPr>
      </c:pivotFmt>
      <c:pivotFmt>
        <c:idx val="26"/>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A7E8C">
              <a:alpha val="95000"/>
            </a:srgbClr>
          </a:solidFill>
          <a:ln>
            <a:solidFill>
              <a:schemeClr val="bg1">
                <a:alpha val="98000"/>
              </a:schemeClr>
            </a:solidFill>
          </a:ln>
          <a:effectLst/>
        </c:spPr>
      </c:pivotFmt>
      <c:pivotFmt>
        <c:idx val="28"/>
        <c:spPr>
          <a:solidFill>
            <a:srgbClr val="7799A6">
              <a:alpha val="95000"/>
            </a:srgbClr>
          </a:solidFill>
          <a:ln>
            <a:solidFill>
              <a:schemeClr val="bg1">
                <a:alpha val="98000"/>
              </a:schemeClr>
            </a:solidFill>
          </a:ln>
          <a:effectLst/>
        </c:spPr>
      </c:pivotFmt>
      <c:pivotFmt>
        <c:idx val="29"/>
        <c:spPr>
          <a:solidFill>
            <a:srgbClr val="9FB6BF">
              <a:alpha val="95000"/>
            </a:srgbClr>
          </a:solidFill>
          <a:ln>
            <a:solidFill>
              <a:schemeClr val="bg1">
                <a:alpha val="98000"/>
              </a:schemeClr>
            </a:solidFill>
          </a:ln>
          <a:effectLst/>
        </c:spPr>
      </c:pivotFmt>
      <c:pivotFmt>
        <c:idx val="30"/>
        <c:spPr>
          <a:solidFill>
            <a:srgbClr val="5A7E8C">
              <a:alpha val="95000"/>
            </a:srgbClr>
          </a:solidFill>
          <a:ln>
            <a:solidFill>
              <a:schemeClr val="bg1">
                <a:alpha val="98000"/>
              </a:schemeClr>
            </a:solidFill>
          </a:ln>
          <a:effectLst/>
        </c:spPr>
      </c:pivotFmt>
      <c:pivotFmt>
        <c:idx val="31"/>
        <c:spPr>
          <a:solidFill>
            <a:srgbClr val="7799A6">
              <a:alpha val="95000"/>
            </a:srgbClr>
          </a:solidFill>
          <a:ln>
            <a:solidFill>
              <a:schemeClr val="bg1">
                <a:alpha val="98000"/>
              </a:schemeClr>
            </a:solidFill>
          </a:ln>
          <a:effectLst/>
        </c:spPr>
      </c:pivotFmt>
      <c:pivotFmt>
        <c:idx val="32"/>
        <c:spPr>
          <a:solidFill>
            <a:srgbClr val="9FB6BF">
              <a:alpha val="95000"/>
            </a:srgbClr>
          </a:solidFill>
          <a:ln>
            <a:solidFill>
              <a:schemeClr val="bg1">
                <a:alpha val="98000"/>
              </a:schemeClr>
            </a:solidFill>
          </a:ln>
          <a:effectLst/>
        </c:spPr>
      </c:pivotFmt>
      <c:pivotFmt>
        <c:idx val="33"/>
        <c:spPr>
          <a:solidFill>
            <a:srgbClr val="BFD1D9">
              <a:alpha val="95000"/>
            </a:srgbClr>
          </a:solidFill>
          <a:ln>
            <a:solidFill>
              <a:schemeClr val="bg1">
                <a:alpha val="98000"/>
              </a:schemeClr>
            </a:solidFill>
          </a:ln>
          <a:effectLst/>
        </c:spPr>
      </c:pivotFmt>
      <c:pivotFmt>
        <c:idx val="34"/>
        <c:spPr>
          <a:solidFill>
            <a:srgbClr val="EBF1F2">
              <a:alpha val="95000"/>
            </a:srgbClr>
          </a:solidFill>
          <a:ln>
            <a:solidFill>
              <a:schemeClr val="bg1">
                <a:alpha val="98000"/>
              </a:schemeClr>
            </a:solidFill>
          </a:ln>
          <a:effectLst/>
        </c:spPr>
      </c:pivotFmt>
    </c:pivotFmts>
    <c:plotArea>
      <c:layout/>
      <c:barChart>
        <c:barDir val="bar"/>
        <c:grouping val="clustered"/>
        <c:varyColors val="0"/>
        <c:ser>
          <c:idx val="0"/>
          <c:order val="0"/>
          <c:tx>
            <c:strRef>
              <c:f>'Performance by City'!$B$3</c:f>
              <c:strCache>
                <c:ptCount val="1"/>
                <c:pt idx="0">
                  <c:v>Total</c:v>
                </c:pt>
              </c:strCache>
            </c:strRef>
          </c:tx>
          <c:spPr>
            <a:solidFill>
              <a:srgbClr val="9FD6FF">
                <a:alpha val="95000"/>
              </a:srgbClr>
            </a:solidFill>
            <a:ln>
              <a:solidFill>
                <a:schemeClr val="bg1">
                  <a:alpha val="98000"/>
                </a:schemeClr>
              </a:solidFill>
            </a:ln>
            <a:effectLst/>
          </c:spPr>
          <c:invertIfNegative val="0"/>
          <c:dPt>
            <c:idx val="0"/>
            <c:invertIfNegative val="0"/>
            <c:bubble3D val="0"/>
            <c:spPr>
              <a:solidFill>
                <a:srgbClr val="5A7E8C">
                  <a:alpha val="95000"/>
                </a:srgbClr>
              </a:solidFill>
              <a:ln>
                <a:solidFill>
                  <a:schemeClr val="bg1">
                    <a:alpha val="98000"/>
                  </a:schemeClr>
                </a:solidFill>
              </a:ln>
              <a:effectLst/>
            </c:spPr>
            <c:extLst>
              <c:ext xmlns:c16="http://schemas.microsoft.com/office/drawing/2014/chart" uri="{C3380CC4-5D6E-409C-BE32-E72D297353CC}">
                <c16:uniqueId val="{00000001-0F83-456D-BA4F-AA352C41F922}"/>
              </c:ext>
            </c:extLst>
          </c:dPt>
          <c:dPt>
            <c:idx val="1"/>
            <c:invertIfNegative val="0"/>
            <c:bubble3D val="0"/>
            <c:spPr>
              <a:solidFill>
                <a:srgbClr val="7799A6">
                  <a:alpha val="95000"/>
                </a:srgbClr>
              </a:solidFill>
              <a:ln>
                <a:solidFill>
                  <a:schemeClr val="bg1">
                    <a:alpha val="98000"/>
                  </a:schemeClr>
                </a:solidFill>
              </a:ln>
              <a:effectLst/>
            </c:spPr>
            <c:extLst>
              <c:ext xmlns:c16="http://schemas.microsoft.com/office/drawing/2014/chart" uri="{C3380CC4-5D6E-409C-BE32-E72D297353CC}">
                <c16:uniqueId val="{00000003-0F83-456D-BA4F-AA352C41F922}"/>
              </c:ext>
            </c:extLst>
          </c:dPt>
          <c:dPt>
            <c:idx val="2"/>
            <c:invertIfNegative val="0"/>
            <c:bubble3D val="0"/>
            <c:spPr>
              <a:solidFill>
                <a:srgbClr val="9FB6BF">
                  <a:alpha val="95000"/>
                </a:srgbClr>
              </a:solidFill>
              <a:ln>
                <a:solidFill>
                  <a:schemeClr val="bg1">
                    <a:alpha val="98000"/>
                  </a:schemeClr>
                </a:solidFill>
              </a:ln>
              <a:effectLst/>
            </c:spPr>
            <c:extLst>
              <c:ext xmlns:c16="http://schemas.microsoft.com/office/drawing/2014/chart" uri="{C3380CC4-5D6E-409C-BE32-E72D297353CC}">
                <c16:uniqueId val="{00000005-0F83-456D-BA4F-AA352C41F922}"/>
              </c:ext>
            </c:extLst>
          </c:dPt>
          <c:dPt>
            <c:idx val="3"/>
            <c:invertIfNegative val="0"/>
            <c:bubble3D val="0"/>
            <c:spPr>
              <a:solidFill>
                <a:srgbClr val="BFD1D9">
                  <a:alpha val="95000"/>
                </a:srgbClr>
              </a:solidFill>
              <a:ln>
                <a:solidFill>
                  <a:schemeClr val="bg1">
                    <a:alpha val="98000"/>
                  </a:schemeClr>
                </a:solidFill>
              </a:ln>
              <a:effectLst/>
            </c:spPr>
            <c:extLst>
              <c:ext xmlns:c16="http://schemas.microsoft.com/office/drawing/2014/chart" uri="{C3380CC4-5D6E-409C-BE32-E72D297353CC}">
                <c16:uniqueId val="{00000007-0F83-456D-BA4F-AA352C41F922}"/>
              </c:ext>
            </c:extLst>
          </c:dPt>
          <c:dPt>
            <c:idx val="4"/>
            <c:invertIfNegative val="0"/>
            <c:bubble3D val="0"/>
            <c:spPr>
              <a:solidFill>
                <a:srgbClr val="EBF1F2">
                  <a:alpha val="95000"/>
                </a:srgbClr>
              </a:solidFill>
              <a:ln>
                <a:solidFill>
                  <a:schemeClr val="bg1">
                    <a:alpha val="98000"/>
                  </a:schemeClr>
                </a:solidFill>
              </a:ln>
              <a:effectLst/>
            </c:spPr>
            <c:extLst>
              <c:ext xmlns:c16="http://schemas.microsoft.com/office/drawing/2014/chart" uri="{C3380CC4-5D6E-409C-BE32-E72D297353CC}">
                <c16:uniqueId val="{00000008-0F83-456D-BA4F-AA352C41F922}"/>
              </c:ext>
            </c:extLst>
          </c:dPt>
          <c:dLbls>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by City'!$A$4:$A$9</c:f>
              <c:strCache>
                <c:ptCount val="5"/>
                <c:pt idx="0">
                  <c:v>Lisbon</c:v>
                </c:pt>
                <c:pt idx="1">
                  <c:v>London</c:v>
                </c:pt>
                <c:pt idx="2">
                  <c:v>Madrid</c:v>
                </c:pt>
                <c:pt idx="3">
                  <c:v>Berlin</c:v>
                </c:pt>
                <c:pt idx="4">
                  <c:v>Paris</c:v>
                </c:pt>
              </c:strCache>
            </c:strRef>
          </c:cat>
          <c:val>
            <c:numRef>
              <c:f>'Performance by City'!$B$4:$B$9</c:f>
              <c:numCache>
                <c:formatCode>[$$-1009]#,##0.00</c:formatCode>
                <c:ptCount val="5"/>
                <c:pt idx="0">
                  <c:v>241714.11570000008</c:v>
                </c:pt>
                <c:pt idx="1">
                  <c:v>211201.04059999986</c:v>
                </c:pt>
                <c:pt idx="2">
                  <c:v>136200.26649999997</c:v>
                </c:pt>
                <c:pt idx="3">
                  <c:v>100600.13129999998</c:v>
                </c:pt>
                <c:pt idx="4">
                  <c:v>79800.305099999983</c:v>
                </c:pt>
              </c:numCache>
            </c:numRef>
          </c:val>
          <c:extLst>
            <c:ext xmlns:c16="http://schemas.microsoft.com/office/drawing/2014/chart" uri="{C3380CC4-5D6E-409C-BE32-E72D297353CC}">
              <c16:uniqueId val="{00000006-0F83-456D-BA4F-AA352C41F922}"/>
            </c:ext>
          </c:extLst>
        </c:ser>
        <c:dLbls>
          <c:showLegendKey val="0"/>
          <c:showVal val="0"/>
          <c:showCatName val="0"/>
          <c:showSerName val="0"/>
          <c:showPercent val="0"/>
          <c:showBubbleSize val="0"/>
        </c:dLbls>
        <c:gapWidth val="20"/>
        <c:axId val="2038585679"/>
        <c:axId val="2038582319"/>
      </c:barChart>
      <c:catAx>
        <c:axId val="203858567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crossAx val="2038582319"/>
        <c:crosses val="autoZero"/>
        <c:auto val="1"/>
        <c:lblAlgn val="ctr"/>
        <c:lblOffset val="100"/>
        <c:noMultiLvlLbl val="0"/>
      </c:catAx>
      <c:valAx>
        <c:axId val="2038582319"/>
        <c:scaling>
          <c:orientation val="minMax"/>
        </c:scaling>
        <c:delete val="1"/>
        <c:axPos val="t"/>
        <c:numFmt formatCode="[$$-1009]#,##0.00" sourceLinked="1"/>
        <c:majorTickMark val="out"/>
        <c:minorTickMark val="none"/>
        <c:tickLblPos val="nextTo"/>
        <c:crossAx val="203858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Updated.xlsx]Monthly Sales!PivotTable1</c:name>
    <c:fmtId val="8"/>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1CA6"/>
          </a:solidFill>
          <a:ln>
            <a:noFill/>
          </a:ln>
          <a:effectLst/>
        </c:spPr>
      </c:pivotFmt>
      <c:pivotFmt>
        <c:idx val="2"/>
        <c:spPr>
          <a:solidFill>
            <a:srgbClr val="0339A6"/>
          </a:solidFill>
          <a:ln>
            <a:noFill/>
          </a:ln>
          <a:effectLst/>
        </c:spPr>
      </c:pivotFmt>
      <c:pivotFmt>
        <c:idx val="3"/>
        <c:spPr>
          <a:solidFill>
            <a:srgbClr val="0468BF"/>
          </a:solidFill>
          <a:ln>
            <a:noFill/>
          </a:ln>
          <a:effectLst/>
        </c:spPr>
      </c:pivotFmt>
      <c:pivotFmt>
        <c:idx val="4"/>
        <c:spPr>
          <a:solidFill>
            <a:srgbClr val="049DD9"/>
          </a:solidFill>
          <a:ln>
            <a:noFill/>
          </a:ln>
          <a:effectLst/>
        </c:spPr>
      </c:pivotFmt>
      <c:pivotFmt>
        <c:idx val="5"/>
        <c:spPr>
          <a:solidFill>
            <a:srgbClr val="04B2D9"/>
          </a:solidFill>
          <a:ln>
            <a:noFill/>
          </a:ln>
          <a:effectLst/>
        </c:spPr>
      </c:pivotFmt>
      <c:pivotFmt>
        <c:idx val="6"/>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1CA6"/>
          </a:solidFill>
          <a:ln>
            <a:noFill/>
          </a:ln>
          <a:effectLst/>
        </c:spPr>
      </c:pivotFmt>
      <c:pivotFmt>
        <c:idx val="8"/>
        <c:spPr>
          <a:solidFill>
            <a:srgbClr val="0339A6"/>
          </a:solidFill>
          <a:ln>
            <a:noFill/>
          </a:ln>
          <a:effectLst/>
        </c:spPr>
      </c:pivotFmt>
      <c:pivotFmt>
        <c:idx val="9"/>
        <c:spPr>
          <a:solidFill>
            <a:srgbClr val="0468BF"/>
          </a:solidFill>
          <a:ln>
            <a:noFill/>
          </a:ln>
          <a:effectLst/>
        </c:spPr>
      </c:pivotFmt>
      <c:pivotFmt>
        <c:idx val="10"/>
        <c:spPr>
          <a:solidFill>
            <a:srgbClr val="049DD9"/>
          </a:solidFill>
          <a:ln>
            <a:noFill/>
          </a:ln>
          <a:effectLst/>
        </c:spPr>
      </c:pivotFmt>
      <c:pivotFmt>
        <c:idx val="11"/>
        <c:spPr>
          <a:solidFill>
            <a:srgbClr val="04B2D9"/>
          </a:solidFill>
          <a:ln>
            <a:noFill/>
          </a:ln>
          <a:effectLst/>
        </c:spPr>
      </c:pivotFmt>
      <c:pivotFmt>
        <c:idx val="12"/>
        <c:spPr>
          <a:solidFill>
            <a:srgbClr val="5A7E8C"/>
          </a:solidFill>
          <a:ln>
            <a:solidFill>
              <a:schemeClr val="bg1"/>
            </a:solidFill>
          </a:ln>
          <a:effectLst/>
        </c:spPr>
      </c:pivotFmt>
      <c:pivotFmt>
        <c:idx val="13"/>
        <c:spPr>
          <a:solidFill>
            <a:srgbClr val="7799A6"/>
          </a:solidFill>
          <a:ln>
            <a:solidFill>
              <a:schemeClr val="bg1"/>
            </a:solidFill>
          </a:ln>
          <a:effectLst/>
        </c:spPr>
      </c:pivotFmt>
      <c:pivotFmt>
        <c:idx val="14"/>
        <c:spPr>
          <a:solidFill>
            <a:srgbClr val="9FB6BF"/>
          </a:solidFill>
          <a:ln>
            <a:solidFill>
              <a:schemeClr val="bg1"/>
            </a:solidFill>
          </a:ln>
          <a:effectLst/>
        </c:spPr>
      </c:pivotFmt>
      <c:pivotFmt>
        <c:idx val="1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A7E8C"/>
          </a:solidFill>
          <a:ln>
            <a:solidFill>
              <a:schemeClr val="bg1"/>
            </a:solidFill>
          </a:ln>
          <a:effectLst/>
        </c:spPr>
      </c:pivotFmt>
      <c:pivotFmt>
        <c:idx val="17"/>
        <c:spPr>
          <a:solidFill>
            <a:srgbClr val="7799A6"/>
          </a:solidFill>
          <a:ln>
            <a:solidFill>
              <a:schemeClr val="bg1"/>
            </a:solidFill>
          </a:ln>
          <a:effectLst/>
        </c:spPr>
      </c:pivotFmt>
      <c:pivotFmt>
        <c:idx val="18"/>
        <c:spPr>
          <a:solidFill>
            <a:srgbClr val="9FB6BF"/>
          </a:solidFill>
          <a:ln>
            <a:solidFill>
              <a:schemeClr val="bg1"/>
            </a:solidFill>
          </a:ln>
          <a:effectLst/>
        </c:spPr>
      </c:pivotFmt>
      <c:pivotFmt>
        <c:idx val="19"/>
        <c:spPr>
          <a:solidFill>
            <a:srgbClr val="5A7E8C">
              <a:alpha val="95000"/>
            </a:srgbClr>
          </a:solidFill>
          <a:ln>
            <a:solidFill>
              <a:schemeClr val="bg1">
                <a:alpha val="98000"/>
              </a:schemeClr>
            </a:solidFill>
          </a:ln>
          <a:effectLst/>
        </c:spPr>
      </c:pivotFmt>
      <c:pivotFmt>
        <c:idx val="20"/>
        <c:spPr>
          <a:solidFill>
            <a:srgbClr val="7799A6">
              <a:alpha val="95000"/>
            </a:srgbClr>
          </a:solidFill>
          <a:ln>
            <a:solidFill>
              <a:schemeClr val="bg1">
                <a:alpha val="98000"/>
              </a:schemeClr>
            </a:solidFill>
          </a:ln>
          <a:effectLst/>
        </c:spPr>
      </c:pivotFmt>
      <c:pivotFmt>
        <c:idx val="21"/>
        <c:spPr>
          <a:solidFill>
            <a:srgbClr val="9FB6BF">
              <a:alpha val="95000"/>
            </a:srgbClr>
          </a:solidFill>
          <a:ln>
            <a:solidFill>
              <a:schemeClr val="bg1">
                <a:alpha val="98000"/>
              </a:schemeClr>
            </a:solidFill>
          </a:ln>
          <a:effectLst/>
        </c:spPr>
      </c:pivotFmt>
      <c:pivotFmt>
        <c:idx val="22"/>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A7E8C">
              <a:alpha val="95000"/>
            </a:srgbClr>
          </a:solidFill>
          <a:ln>
            <a:solidFill>
              <a:schemeClr val="bg1">
                <a:alpha val="98000"/>
              </a:schemeClr>
            </a:solidFill>
          </a:ln>
          <a:effectLst/>
        </c:spPr>
      </c:pivotFmt>
      <c:pivotFmt>
        <c:idx val="24"/>
        <c:spPr>
          <a:solidFill>
            <a:srgbClr val="7799A6">
              <a:alpha val="95000"/>
            </a:srgbClr>
          </a:solidFill>
          <a:ln>
            <a:solidFill>
              <a:schemeClr val="bg1">
                <a:alpha val="98000"/>
              </a:schemeClr>
            </a:solidFill>
          </a:ln>
          <a:effectLst/>
        </c:spPr>
      </c:pivotFmt>
      <c:pivotFmt>
        <c:idx val="25"/>
        <c:spPr>
          <a:solidFill>
            <a:srgbClr val="9FB6BF">
              <a:alpha val="95000"/>
            </a:srgbClr>
          </a:solidFill>
          <a:ln>
            <a:solidFill>
              <a:schemeClr val="bg1">
                <a:alpha val="98000"/>
              </a:schemeClr>
            </a:solidFill>
          </a:ln>
          <a:effectLst/>
        </c:spPr>
      </c:pivotFmt>
      <c:pivotFmt>
        <c:idx val="26"/>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A7E8C">
              <a:alpha val="95000"/>
            </a:srgbClr>
          </a:solidFill>
          <a:ln>
            <a:solidFill>
              <a:schemeClr val="bg1">
                <a:alpha val="98000"/>
              </a:schemeClr>
            </a:solidFill>
          </a:ln>
          <a:effectLst/>
        </c:spPr>
      </c:pivotFmt>
      <c:pivotFmt>
        <c:idx val="28"/>
        <c:spPr>
          <a:solidFill>
            <a:srgbClr val="7799A6">
              <a:alpha val="95000"/>
            </a:srgbClr>
          </a:solidFill>
          <a:ln>
            <a:solidFill>
              <a:schemeClr val="bg1">
                <a:alpha val="98000"/>
              </a:schemeClr>
            </a:solidFill>
          </a:ln>
          <a:effectLst/>
        </c:spPr>
      </c:pivotFmt>
      <c:pivotFmt>
        <c:idx val="29"/>
        <c:spPr>
          <a:solidFill>
            <a:srgbClr val="9FB6BF">
              <a:alpha val="95000"/>
            </a:srgbClr>
          </a:solidFill>
          <a:ln>
            <a:solidFill>
              <a:schemeClr val="bg1">
                <a:alpha val="98000"/>
              </a:schemeClr>
            </a:solidFill>
          </a:ln>
          <a:effectLst/>
        </c:spPr>
      </c:pivotFmt>
      <c:pivotFmt>
        <c:idx val="30"/>
        <c:spPr>
          <a:solidFill>
            <a:srgbClr val="5A7E8C">
              <a:alpha val="95000"/>
            </a:srgbClr>
          </a:solidFill>
          <a:ln>
            <a:solidFill>
              <a:schemeClr val="bg1">
                <a:alpha val="98000"/>
              </a:schemeClr>
            </a:solidFill>
          </a:ln>
          <a:effectLst/>
        </c:spPr>
      </c:pivotFmt>
      <c:pivotFmt>
        <c:idx val="31"/>
        <c:spPr>
          <a:solidFill>
            <a:srgbClr val="7799A6">
              <a:alpha val="95000"/>
            </a:srgbClr>
          </a:solidFill>
          <a:ln>
            <a:solidFill>
              <a:schemeClr val="bg1">
                <a:alpha val="98000"/>
              </a:schemeClr>
            </a:solidFill>
          </a:ln>
          <a:effectLst/>
        </c:spPr>
      </c:pivotFmt>
      <c:pivotFmt>
        <c:idx val="32"/>
        <c:spPr>
          <a:solidFill>
            <a:srgbClr val="9FB6BF">
              <a:alpha val="95000"/>
            </a:srgbClr>
          </a:solidFill>
          <a:ln>
            <a:solidFill>
              <a:schemeClr val="bg1">
                <a:alpha val="98000"/>
              </a:schemeClr>
            </a:solidFill>
          </a:ln>
          <a:effectLst/>
        </c:spPr>
      </c:pivotFmt>
      <c:pivotFmt>
        <c:idx val="33"/>
        <c:spPr>
          <a:solidFill>
            <a:srgbClr val="BFD1D9">
              <a:alpha val="95000"/>
            </a:srgbClr>
          </a:solidFill>
          <a:ln>
            <a:solidFill>
              <a:schemeClr val="bg1">
                <a:alpha val="98000"/>
              </a:schemeClr>
            </a:solidFill>
          </a:ln>
          <a:effectLst/>
        </c:spPr>
      </c:pivotFmt>
      <c:pivotFmt>
        <c:idx val="34"/>
        <c:spPr>
          <a:solidFill>
            <a:srgbClr val="EBF1F2">
              <a:alpha val="95000"/>
            </a:srgbClr>
          </a:solidFill>
          <a:ln>
            <a:solidFill>
              <a:schemeClr val="bg1">
                <a:alpha val="98000"/>
              </a:schemeClr>
            </a:solidFill>
          </a:ln>
          <a:effectLst/>
        </c:spPr>
      </c:pivotFmt>
      <c:pivotFmt>
        <c:idx val="3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A7E8C">
              <a:alpha val="95000"/>
            </a:srgbClr>
          </a:solidFill>
          <a:ln>
            <a:solidFill>
              <a:schemeClr val="bg1">
                <a:alpha val="98000"/>
              </a:schemeClr>
            </a:solidFill>
          </a:ln>
          <a:effectLst/>
        </c:spPr>
      </c:pivotFmt>
      <c:pivotFmt>
        <c:idx val="37"/>
        <c:spPr>
          <a:solidFill>
            <a:srgbClr val="7799A6">
              <a:alpha val="95000"/>
            </a:srgbClr>
          </a:solidFill>
          <a:ln>
            <a:solidFill>
              <a:schemeClr val="bg1">
                <a:alpha val="98000"/>
              </a:schemeClr>
            </a:solidFill>
          </a:ln>
          <a:effectLst/>
        </c:spPr>
      </c:pivotFmt>
      <c:pivotFmt>
        <c:idx val="38"/>
        <c:spPr>
          <a:solidFill>
            <a:srgbClr val="9FB6BF">
              <a:alpha val="95000"/>
            </a:srgbClr>
          </a:solidFill>
          <a:ln>
            <a:solidFill>
              <a:schemeClr val="bg1">
                <a:alpha val="98000"/>
              </a:schemeClr>
            </a:solidFill>
          </a:ln>
          <a:effectLst/>
        </c:spPr>
      </c:pivotFmt>
      <c:pivotFmt>
        <c:idx val="39"/>
        <c:spPr>
          <a:solidFill>
            <a:srgbClr val="BFD1D9">
              <a:alpha val="95000"/>
            </a:srgbClr>
          </a:solidFill>
          <a:ln>
            <a:solidFill>
              <a:schemeClr val="bg1">
                <a:alpha val="98000"/>
              </a:schemeClr>
            </a:solidFill>
          </a:ln>
          <a:effectLst/>
        </c:spPr>
      </c:pivotFmt>
      <c:pivotFmt>
        <c:idx val="40"/>
        <c:spPr>
          <a:solidFill>
            <a:srgbClr val="EBF1F2">
              <a:alpha val="95000"/>
            </a:srgbClr>
          </a:solidFill>
          <a:ln>
            <a:solidFill>
              <a:schemeClr val="bg1">
                <a:alpha val="98000"/>
              </a:schemeClr>
            </a:solidFill>
          </a:ln>
          <a:effectLst/>
        </c:spPr>
      </c:pivotFmt>
      <c:pivotFmt>
        <c:idx val="41"/>
        <c:spPr>
          <a:solidFill>
            <a:srgbClr val="5A7E8C">
              <a:alpha val="95000"/>
            </a:srgbClr>
          </a:solidFill>
          <a:ln>
            <a:solidFill>
              <a:schemeClr val="bg1">
                <a:alpha val="98000"/>
              </a:schemeClr>
            </a:solidFill>
          </a:ln>
          <a:effectLst/>
        </c:spPr>
      </c:pivotFmt>
      <c:pivotFmt>
        <c:idx val="42"/>
        <c:spPr>
          <a:solidFill>
            <a:srgbClr val="7799A6">
              <a:alpha val="95000"/>
            </a:srgbClr>
          </a:solidFill>
          <a:ln>
            <a:solidFill>
              <a:schemeClr val="bg1">
                <a:alpha val="98000"/>
              </a:schemeClr>
            </a:solidFill>
          </a:ln>
          <a:effectLst/>
        </c:spPr>
      </c:pivotFmt>
    </c:pivotFmts>
    <c:plotArea>
      <c:layout/>
      <c:pieChart>
        <c:varyColors val="1"/>
        <c:ser>
          <c:idx val="0"/>
          <c:order val="0"/>
          <c:tx>
            <c:strRef>
              <c:f>'Monthly Sales'!$B$3</c:f>
              <c:strCache>
                <c:ptCount val="1"/>
                <c:pt idx="0">
                  <c:v>Total</c:v>
                </c:pt>
              </c:strCache>
            </c:strRef>
          </c:tx>
          <c:spPr>
            <a:solidFill>
              <a:srgbClr val="9FD6FF">
                <a:alpha val="95000"/>
              </a:srgbClr>
            </a:solidFill>
            <a:ln>
              <a:solidFill>
                <a:schemeClr val="bg1">
                  <a:alpha val="98000"/>
                </a:schemeClr>
              </a:solidFill>
            </a:ln>
          </c:spPr>
          <c:dPt>
            <c:idx val="0"/>
            <c:bubble3D val="0"/>
            <c:spPr>
              <a:solidFill>
                <a:srgbClr val="7799A6">
                  <a:alpha val="95000"/>
                </a:srgbClr>
              </a:solidFill>
              <a:ln>
                <a:solidFill>
                  <a:schemeClr val="bg1">
                    <a:alpha val="98000"/>
                  </a:schemeClr>
                </a:solidFill>
              </a:ln>
              <a:effectLst/>
            </c:spPr>
            <c:extLst>
              <c:ext xmlns:c16="http://schemas.microsoft.com/office/drawing/2014/chart" uri="{C3380CC4-5D6E-409C-BE32-E72D297353CC}">
                <c16:uniqueId val="{00000001-3502-4642-B316-738B79C79EEB}"/>
              </c:ext>
            </c:extLst>
          </c:dPt>
          <c:dPt>
            <c:idx val="1"/>
            <c:bubble3D val="0"/>
            <c:spPr>
              <a:solidFill>
                <a:srgbClr val="5A7E8C">
                  <a:alpha val="95000"/>
                </a:srgbClr>
              </a:solidFill>
              <a:ln>
                <a:solidFill>
                  <a:schemeClr val="bg1">
                    <a:alpha val="98000"/>
                  </a:schemeClr>
                </a:solidFill>
              </a:ln>
              <a:effectLst/>
            </c:spPr>
            <c:extLst>
              <c:ext xmlns:c16="http://schemas.microsoft.com/office/drawing/2014/chart" uri="{C3380CC4-5D6E-409C-BE32-E72D297353CC}">
                <c16:uniqueId val="{00000003-3502-4642-B316-738B79C79EEB}"/>
              </c:ext>
            </c:extLst>
          </c:dPt>
          <c:dPt>
            <c:idx val="2"/>
            <c:bubble3D val="0"/>
            <c:spPr>
              <a:solidFill>
                <a:srgbClr val="9FD6FF">
                  <a:alpha val="95000"/>
                </a:srgbClr>
              </a:solidFill>
              <a:ln>
                <a:solidFill>
                  <a:schemeClr val="bg1">
                    <a:alpha val="98000"/>
                  </a:schemeClr>
                </a:solidFill>
              </a:ln>
              <a:effectLst/>
            </c:spPr>
            <c:extLst>
              <c:ext xmlns:c16="http://schemas.microsoft.com/office/drawing/2014/chart" uri="{C3380CC4-5D6E-409C-BE32-E72D297353CC}">
                <c16:uniqueId val="{00000005-3502-4642-B316-738B79C79EEB}"/>
              </c:ext>
            </c:extLst>
          </c:dPt>
          <c:dPt>
            <c:idx val="3"/>
            <c:bubble3D val="0"/>
            <c:spPr>
              <a:solidFill>
                <a:srgbClr val="9FD6FF">
                  <a:alpha val="95000"/>
                </a:srgbClr>
              </a:solidFill>
              <a:ln>
                <a:solidFill>
                  <a:schemeClr val="bg1">
                    <a:alpha val="98000"/>
                  </a:schemeClr>
                </a:solidFill>
              </a:ln>
              <a:effectLst/>
            </c:spPr>
            <c:extLst>
              <c:ext xmlns:c16="http://schemas.microsoft.com/office/drawing/2014/chart" uri="{C3380CC4-5D6E-409C-BE32-E72D297353CC}">
                <c16:uniqueId val="{00000007-3502-4642-B316-738B79C79EEB}"/>
              </c:ext>
            </c:extLst>
          </c:dPt>
          <c:dPt>
            <c:idx val="4"/>
            <c:bubble3D val="0"/>
            <c:spPr>
              <a:solidFill>
                <a:srgbClr val="9FD6FF">
                  <a:alpha val="95000"/>
                </a:srgbClr>
              </a:solidFill>
              <a:ln>
                <a:solidFill>
                  <a:schemeClr val="bg1">
                    <a:alpha val="98000"/>
                  </a:schemeClr>
                </a:solidFill>
              </a:ln>
              <a:effectLst/>
            </c:spPr>
            <c:extLst>
              <c:ext xmlns:c16="http://schemas.microsoft.com/office/drawing/2014/chart" uri="{C3380CC4-5D6E-409C-BE32-E72D297353CC}">
                <c16:uniqueId val="{00000009-3502-4642-B316-738B79C79EEB}"/>
              </c:ext>
            </c:extLst>
          </c:dPt>
          <c:dLbls>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'Monthly Sales'!$A$4:$A$6</c:f>
              <c:strCache>
                <c:ptCount val="2"/>
                <c:pt idx="0">
                  <c:v>Nov</c:v>
                </c:pt>
                <c:pt idx="1">
                  <c:v>Dec</c:v>
                </c:pt>
              </c:strCache>
            </c:strRef>
          </c:cat>
          <c:val>
            <c:numRef>
              <c:f>'Monthly Sales'!$B$4:$B$6</c:f>
              <c:numCache>
                <c:formatCode>0.00%</c:formatCode>
                <c:ptCount val="2"/>
                <c:pt idx="0">
                  <c:v>0.43158910167916675</c:v>
                </c:pt>
                <c:pt idx="1">
                  <c:v>0.56841089832083336</c:v>
                </c:pt>
              </c:numCache>
            </c:numRef>
          </c:val>
          <c:extLst>
            <c:ext xmlns:c16="http://schemas.microsoft.com/office/drawing/2014/chart" uri="{C3380CC4-5D6E-409C-BE32-E72D297353CC}">
              <c16:uniqueId val="{0000000A-3502-4642-B316-738B79C79EE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Updated.xlsx]Weekly Sales Trends!PivotTable1</c:name>
    <c:fmtId val="10"/>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Weekly 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1CA6"/>
          </a:solidFill>
          <a:ln>
            <a:noFill/>
          </a:ln>
          <a:effectLst/>
        </c:spPr>
      </c:pivotFmt>
      <c:pivotFmt>
        <c:idx val="2"/>
        <c:spPr>
          <a:solidFill>
            <a:srgbClr val="0339A6"/>
          </a:solidFill>
          <a:ln>
            <a:noFill/>
          </a:ln>
          <a:effectLst/>
        </c:spPr>
      </c:pivotFmt>
      <c:pivotFmt>
        <c:idx val="3"/>
        <c:spPr>
          <a:solidFill>
            <a:srgbClr val="0468BF"/>
          </a:solidFill>
          <a:ln>
            <a:noFill/>
          </a:ln>
          <a:effectLst/>
        </c:spPr>
      </c:pivotFmt>
      <c:pivotFmt>
        <c:idx val="4"/>
        <c:spPr>
          <a:solidFill>
            <a:srgbClr val="049DD9"/>
          </a:solidFill>
          <a:ln>
            <a:noFill/>
          </a:ln>
          <a:effectLst/>
        </c:spPr>
      </c:pivotFmt>
      <c:pivotFmt>
        <c:idx val="5"/>
        <c:spPr>
          <a:solidFill>
            <a:srgbClr val="04B2D9"/>
          </a:solidFill>
          <a:ln>
            <a:noFill/>
          </a:ln>
          <a:effectLst/>
        </c:spPr>
      </c:pivotFmt>
      <c:pivotFmt>
        <c:idx val="6"/>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1CA6"/>
          </a:solidFill>
          <a:ln>
            <a:noFill/>
          </a:ln>
          <a:effectLst/>
        </c:spPr>
      </c:pivotFmt>
      <c:pivotFmt>
        <c:idx val="8"/>
        <c:spPr>
          <a:solidFill>
            <a:srgbClr val="0339A6"/>
          </a:solidFill>
          <a:ln>
            <a:noFill/>
          </a:ln>
          <a:effectLst/>
        </c:spPr>
      </c:pivotFmt>
      <c:pivotFmt>
        <c:idx val="9"/>
        <c:spPr>
          <a:solidFill>
            <a:srgbClr val="0468BF"/>
          </a:solidFill>
          <a:ln>
            <a:noFill/>
          </a:ln>
          <a:effectLst/>
        </c:spPr>
      </c:pivotFmt>
      <c:pivotFmt>
        <c:idx val="10"/>
        <c:spPr>
          <a:solidFill>
            <a:srgbClr val="049DD9"/>
          </a:solidFill>
          <a:ln>
            <a:noFill/>
          </a:ln>
          <a:effectLst/>
        </c:spPr>
      </c:pivotFmt>
      <c:pivotFmt>
        <c:idx val="11"/>
        <c:spPr>
          <a:solidFill>
            <a:srgbClr val="04B2D9"/>
          </a:solidFill>
          <a:ln>
            <a:noFill/>
          </a:ln>
          <a:effectLst/>
        </c:spPr>
      </c:pivotFmt>
      <c:pivotFmt>
        <c:idx val="12"/>
        <c:spPr>
          <a:solidFill>
            <a:srgbClr val="5A7E8C"/>
          </a:solidFill>
          <a:ln>
            <a:solidFill>
              <a:schemeClr val="bg1"/>
            </a:solidFill>
          </a:ln>
          <a:effectLst/>
        </c:spPr>
      </c:pivotFmt>
      <c:pivotFmt>
        <c:idx val="13"/>
        <c:spPr>
          <a:solidFill>
            <a:srgbClr val="7799A6"/>
          </a:solidFill>
          <a:ln>
            <a:solidFill>
              <a:schemeClr val="bg1"/>
            </a:solidFill>
          </a:ln>
          <a:effectLst/>
        </c:spPr>
      </c:pivotFmt>
      <c:pivotFmt>
        <c:idx val="14"/>
        <c:spPr>
          <a:solidFill>
            <a:srgbClr val="9FB6BF"/>
          </a:solidFill>
          <a:ln>
            <a:solidFill>
              <a:schemeClr val="bg1"/>
            </a:solidFill>
          </a:ln>
          <a:effectLst/>
        </c:spPr>
      </c:pivotFmt>
      <c:pivotFmt>
        <c:idx val="1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A7E8C"/>
          </a:solidFill>
          <a:ln>
            <a:solidFill>
              <a:schemeClr val="bg1"/>
            </a:solidFill>
          </a:ln>
          <a:effectLst/>
        </c:spPr>
      </c:pivotFmt>
      <c:pivotFmt>
        <c:idx val="17"/>
        <c:spPr>
          <a:solidFill>
            <a:srgbClr val="7799A6"/>
          </a:solidFill>
          <a:ln>
            <a:solidFill>
              <a:schemeClr val="bg1"/>
            </a:solidFill>
          </a:ln>
          <a:effectLst/>
        </c:spPr>
      </c:pivotFmt>
      <c:pivotFmt>
        <c:idx val="18"/>
        <c:spPr>
          <a:solidFill>
            <a:srgbClr val="9FB6BF"/>
          </a:solidFill>
          <a:ln>
            <a:solidFill>
              <a:schemeClr val="bg1"/>
            </a:solidFill>
          </a:ln>
          <a:effectLst/>
        </c:spPr>
      </c:pivotFmt>
      <c:pivotFmt>
        <c:idx val="19"/>
        <c:spPr>
          <a:solidFill>
            <a:srgbClr val="5A7E8C">
              <a:alpha val="95000"/>
            </a:srgbClr>
          </a:solidFill>
          <a:ln>
            <a:solidFill>
              <a:schemeClr val="bg1">
                <a:alpha val="98000"/>
              </a:schemeClr>
            </a:solidFill>
          </a:ln>
          <a:effectLst/>
        </c:spPr>
      </c:pivotFmt>
      <c:pivotFmt>
        <c:idx val="20"/>
        <c:spPr>
          <a:solidFill>
            <a:srgbClr val="7799A6">
              <a:alpha val="95000"/>
            </a:srgbClr>
          </a:solidFill>
          <a:ln>
            <a:solidFill>
              <a:schemeClr val="bg1">
                <a:alpha val="98000"/>
              </a:schemeClr>
            </a:solidFill>
          </a:ln>
          <a:effectLst/>
        </c:spPr>
      </c:pivotFmt>
      <c:pivotFmt>
        <c:idx val="21"/>
        <c:spPr>
          <a:solidFill>
            <a:srgbClr val="9FB6BF">
              <a:alpha val="95000"/>
            </a:srgbClr>
          </a:solidFill>
          <a:ln>
            <a:solidFill>
              <a:schemeClr val="bg1">
                <a:alpha val="98000"/>
              </a:schemeClr>
            </a:solidFill>
          </a:ln>
          <a:effectLst/>
        </c:spPr>
      </c:pivotFmt>
      <c:pivotFmt>
        <c:idx val="22"/>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A7E8C">
              <a:alpha val="95000"/>
            </a:srgbClr>
          </a:solidFill>
          <a:ln>
            <a:solidFill>
              <a:schemeClr val="bg1">
                <a:alpha val="98000"/>
              </a:schemeClr>
            </a:solidFill>
          </a:ln>
          <a:effectLst/>
        </c:spPr>
      </c:pivotFmt>
      <c:pivotFmt>
        <c:idx val="24"/>
        <c:spPr>
          <a:solidFill>
            <a:srgbClr val="7799A6">
              <a:alpha val="95000"/>
            </a:srgbClr>
          </a:solidFill>
          <a:ln>
            <a:solidFill>
              <a:schemeClr val="bg1">
                <a:alpha val="98000"/>
              </a:schemeClr>
            </a:solidFill>
          </a:ln>
          <a:effectLst/>
        </c:spPr>
      </c:pivotFmt>
      <c:pivotFmt>
        <c:idx val="25"/>
        <c:spPr>
          <a:solidFill>
            <a:srgbClr val="9FB6BF">
              <a:alpha val="95000"/>
            </a:srgbClr>
          </a:solidFill>
          <a:ln>
            <a:solidFill>
              <a:schemeClr val="bg1">
                <a:alpha val="98000"/>
              </a:schemeClr>
            </a:solidFill>
          </a:ln>
          <a:effectLst/>
        </c:spPr>
      </c:pivotFmt>
      <c:pivotFmt>
        <c:idx val="26"/>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A7E8C">
              <a:alpha val="95000"/>
            </a:srgbClr>
          </a:solidFill>
          <a:ln>
            <a:solidFill>
              <a:schemeClr val="bg1">
                <a:alpha val="98000"/>
              </a:schemeClr>
            </a:solidFill>
          </a:ln>
          <a:effectLst/>
        </c:spPr>
      </c:pivotFmt>
      <c:pivotFmt>
        <c:idx val="28"/>
        <c:spPr>
          <a:solidFill>
            <a:srgbClr val="7799A6">
              <a:alpha val="95000"/>
            </a:srgbClr>
          </a:solidFill>
          <a:ln>
            <a:solidFill>
              <a:schemeClr val="bg1">
                <a:alpha val="98000"/>
              </a:schemeClr>
            </a:solidFill>
          </a:ln>
          <a:effectLst/>
        </c:spPr>
      </c:pivotFmt>
      <c:pivotFmt>
        <c:idx val="29"/>
        <c:spPr>
          <a:solidFill>
            <a:srgbClr val="9FB6BF">
              <a:alpha val="95000"/>
            </a:srgbClr>
          </a:solidFill>
          <a:ln>
            <a:solidFill>
              <a:schemeClr val="bg1">
                <a:alpha val="98000"/>
              </a:schemeClr>
            </a:solidFill>
          </a:ln>
          <a:effectLst/>
        </c:spPr>
      </c:pivotFmt>
      <c:pivotFmt>
        <c:idx val="30"/>
        <c:spPr>
          <a:solidFill>
            <a:srgbClr val="5A7E8C">
              <a:alpha val="95000"/>
            </a:srgbClr>
          </a:solidFill>
          <a:ln>
            <a:solidFill>
              <a:schemeClr val="bg1">
                <a:alpha val="98000"/>
              </a:schemeClr>
            </a:solidFill>
          </a:ln>
          <a:effectLst/>
        </c:spPr>
      </c:pivotFmt>
      <c:pivotFmt>
        <c:idx val="31"/>
        <c:spPr>
          <a:solidFill>
            <a:srgbClr val="7799A6">
              <a:alpha val="95000"/>
            </a:srgbClr>
          </a:solidFill>
          <a:ln>
            <a:solidFill>
              <a:schemeClr val="bg1">
                <a:alpha val="98000"/>
              </a:schemeClr>
            </a:solidFill>
          </a:ln>
          <a:effectLst/>
        </c:spPr>
      </c:pivotFmt>
      <c:pivotFmt>
        <c:idx val="32"/>
        <c:spPr>
          <a:solidFill>
            <a:srgbClr val="9FB6BF">
              <a:alpha val="95000"/>
            </a:srgbClr>
          </a:solidFill>
          <a:ln>
            <a:solidFill>
              <a:schemeClr val="bg1">
                <a:alpha val="98000"/>
              </a:schemeClr>
            </a:solidFill>
          </a:ln>
          <a:effectLst/>
        </c:spPr>
      </c:pivotFmt>
      <c:pivotFmt>
        <c:idx val="33"/>
        <c:spPr>
          <a:solidFill>
            <a:srgbClr val="BFD1D9">
              <a:alpha val="95000"/>
            </a:srgbClr>
          </a:solidFill>
          <a:ln>
            <a:solidFill>
              <a:schemeClr val="bg1">
                <a:alpha val="98000"/>
              </a:schemeClr>
            </a:solidFill>
          </a:ln>
          <a:effectLst/>
        </c:spPr>
      </c:pivotFmt>
      <c:pivotFmt>
        <c:idx val="34"/>
        <c:spPr>
          <a:solidFill>
            <a:srgbClr val="EBF1F2">
              <a:alpha val="95000"/>
            </a:srgbClr>
          </a:solidFill>
          <a:ln>
            <a:solidFill>
              <a:schemeClr val="bg1">
                <a:alpha val="98000"/>
              </a:schemeClr>
            </a:solidFill>
          </a:ln>
          <a:effectLst/>
        </c:spPr>
      </c:pivotFmt>
      <c:pivotFmt>
        <c:idx val="3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A7E8C">
              <a:alpha val="95000"/>
            </a:srgbClr>
          </a:solidFill>
          <a:ln>
            <a:solidFill>
              <a:schemeClr val="bg1">
                <a:alpha val="98000"/>
              </a:schemeClr>
            </a:solidFill>
          </a:ln>
          <a:effectLst/>
        </c:spPr>
      </c:pivotFmt>
      <c:pivotFmt>
        <c:idx val="37"/>
        <c:spPr>
          <a:solidFill>
            <a:srgbClr val="7799A6">
              <a:alpha val="95000"/>
            </a:srgbClr>
          </a:solidFill>
          <a:ln>
            <a:solidFill>
              <a:schemeClr val="bg1">
                <a:alpha val="98000"/>
              </a:schemeClr>
            </a:solidFill>
          </a:ln>
          <a:effectLst/>
        </c:spPr>
      </c:pivotFmt>
      <c:pivotFmt>
        <c:idx val="38"/>
        <c:spPr>
          <a:solidFill>
            <a:srgbClr val="9FB6BF">
              <a:alpha val="95000"/>
            </a:srgbClr>
          </a:solidFill>
          <a:ln>
            <a:solidFill>
              <a:schemeClr val="bg1">
                <a:alpha val="98000"/>
              </a:schemeClr>
            </a:solidFill>
          </a:ln>
          <a:effectLst/>
        </c:spPr>
      </c:pivotFmt>
      <c:pivotFmt>
        <c:idx val="39"/>
        <c:spPr>
          <a:solidFill>
            <a:srgbClr val="BFD1D9">
              <a:alpha val="95000"/>
            </a:srgbClr>
          </a:solidFill>
          <a:ln>
            <a:solidFill>
              <a:schemeClr val="bg1">
                <a:alpha val="98000"/>
              </a:schemeClr>
            </a:solidFill>
          </a:ln>
          <a:effectLst/>
        </c:spPr>
      </c:pivotFmt>
      <c:pivotFmt>
        <c:idx val="40"/>
        <c:spPr>
          <a:solidFill>
            <a:srgbClr val="EBF1F2">
              <a:alpha val="95000"/>
            </a:srgbClr>
          </a:solidFill>
          <a:ln>
            <a:solidFill>
              <a:schemeClr val="bg1">
                <a:alpha val="98000"/>
              </a:schemeClr>
            </a:solidFill>
          </a:ln>
          <a:effectLst/>
        </c:spPr>
      </c:pivotFmt>
      <c:pivotFmt>
        <c:idx val="41"/>
        <c:spPr>
          <a:solidFill>
            <a:srgbClr val="5A7E8C">
              <a:alpha val="95000"/>
            </a:srgbClr>
          </a:solidFill>
          <a:ln>
            <a:solidFill>
              <a:schemeClr val="bg1">
                <a:alpha val="98000"/>
              </a:schemeClr>
            </a:solidFill>
          </a:ln>
          <a:effectLst/>
        </c:spPr>
      </c:pivotFmt>
      <c:pivotFmt>
        <c:idx val="42"/>
        <c:spPr>
          <a:solidFill>
            <a:srgbClr val="7799A6">
              <a:alpha val="95000"/>
            </a:srgbClr>
          </a:solidFill>
          <a:ln>
            <a:solidFill>
              <a:schemeClr val="bg1">
                <a:alpha val="98000"/>
              </a:schemeClr>
            </a:solidFill>
          </a:ln>
          <a:effectLst/>
        </c:spPr>
      </c:pivotFmt>
      <c:pivotFmt>
        <c:idx val="43"/>
        <c:spPr>
          <a:ln w="28575" cap="rnd">
            <a:solidFill>
              <a:srgbClr val="5A7E8C">
                <a:alpha val="98000"/>
              </a:srgb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7799A6">
              <a:alpha val="95000"/>
            </a:srgbClr>
          </a:solidFill>
          <a:ln>
            <a:solidFill>
              <a:schemeClr val="bg1">
                <a:alpha val="98000"/>
              </a:schemeClr>
            </a:solidFill>
          </a:ln>
          <a:effectLst/>
        </c:spPr>
      </c:pivotFmt>
      <c:pivotFmt>
        <c:idx val="45"/>
        <c:spPr>
          <a:solidFill>
            <a:srgbClr val="5A7E8C">
              <a:alpha val="95000"/>
            </a:srgbClr>
          </a:solidFill>
          <a:ln>
            <a:solidFill>
              <a:schemeClr val="bg1">
                <a:alpha val="98000"/>
              </a:schemeClr>
            </a:solidFill>
          </a:ln>
          <a:effectLst/>
        </c:spPr>
      </c:pivotFmt>
    </c:pivotFmts>
    <c:plotArea>
      <c:layout/>
      <c:lineChart>
        <c:grouping val="standard"/>
        <c:varyColors val="0"/>
        <c:ser>
          <c:idx val="0"/>
          <c:order val="0"/>
          <c:tx>
            <c:strRef>
              <c:f>'Weekly Sales Trends'!$B$3</c:f>
              <c:strCache>
                <c:ptCount val="1"/>
                <c:pt idx="0">
                  <c:v>Total</c:v>
                </c:pt>
              </c:strCache>
            </c:strRef>
          </c:tx>
          <c:spPr>
            <a:ln w="28575" cap="rnd">
              <a:solidFill>
                <a:srgbClr val="5A7E8C">
                  <a:alpha val="98000"/>
                </a:srgbClr>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Sales Trends'!$A$4:$A$11</c:f>
              <c:strCache>
                <c:ptCount val="7"/>
                <c:pt idx="0">
                  <c:v>Mon</c:v>
                </c:pt>
                <c:pt idx="1">
                  <c:v>Tue</c:v>
                </c:pt>
                <c:pt idx="2">
                  <c:v>Wed</c:v>
                </c:pt>
                <c:pt idx="3">
                  <c:v>Thu</c:v>
                </c:pt>
                <c:pt idx="4">
                  <c:v>Fri</c:v>
                </c:pt>
                <c:pt idx="5">
                  <c:v>Sat</c:v>
                </c:pt>
                <c:pt idx="6">
                  <c:v>Sun</c:v>
                </c:pt>
              </c:strCache>
            </c:strRef>
          </c:cat>
          <c:val>
            <c:numRef>
              <c:f>'Weekly Sales Trends'!$B$4:$B$11</c:f>
              <c:numCache>
                <c:formatCode>[$$-1009]#,##0.00</c:formatCode>
                <c:ptCount val="7"/>
                <c:pt idx="0">
                  <c:v>112039.55739999998</c:v>
                </c:pt>
                <c:pt idx="1">
                  <c:v>114600.35209999997</c:v>
                </c:pt>
                <c:pt idx="2">
                  <c:v>117800.20879999998</c:v>
                </c:pt>
                <c:pt idx="3">
                  <c:v>116200.47279999999</c:v>
                </c:pt>
                <c:pt idx="4">
                  <c:v>101800.28089999997</c:v>
                </c:pt>
                <c:pt idx="5">
                  <c:v>101600.33069999999</c:v>
                </c:pt>
                <c:pt idx="6">
                  <c:v>105474.65649999997</c:v>
                </c:pt>
              </c:numCache>
            </c:numRef>
          </c:val>
          <c:smooth val="0"/>
          <c:extLst>
            <c:ext xmlns:c16="http://schemas.microsoft.com/office/drawing/2014/chart" uri="{C3380CC4-5D6E-409C-BE32-E72D297353CC}">
              <c16:uniqueId val="{0000000A-3190-4479-B28C-09C870F6117F}"/>
            </c:ext>
          </c:extLst>
        </c:ser>
        <c:dLbls>
          <c:dLblPos val="b"/>
          <c:showLegendKey val="0"/>
          <c:showVal val="1"/>
          <c:showCatName val="0"/>
          <c:showSerName val="0"/>
          <c:showPercent val="0"/>
          <c:showBubbleSize val="0"/>
        </c:dLbls>
        <c:smooth val="0"/>
        <c:axId val="2038590479"/>
        <c:axId val="2038578959"/>
      </c:lineChart>
      <c:catAx>
        <c:axId val="2038590479"/>
        <c:scaling>
          <c:orientation val="minMax"/>
        </c:scaling>
        <c:delete val="0"/>
        <c:axPos val="b"/>
        <c:numFmt formatCode="General" sourceLinked="1"/>
        <c:majorTickMark val="out"/>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crossAx val="2038578959"/>
        <c:crosses val="autoZero"/>
        <c:auto val="1"/>
        <c:lblAlgn val="ctr"/>
        <c:lblOffset val="100"/>
        <c:noMultiLvlLbl val="0"/>
      </c:catAx>
      <c:valAx>
        <c:axId val="2038578959"/>
        <c:scaling>
          <c:orientation val="minMax"/>
        </c:scaling>
        <c:delete val="1"/>
        <c:axPos val="l"/>
        <c:numFmt formatCode="[$$-1009]#,##0.00" sourceLinked="1"/>
        <c:majorTickMark val="out"/>
        <c:minorTickMark val="none"/>
        <c:tickLblPos val="nextTo"/>
        <c:crossAx val="203859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Updated.xlsx]Product by amount!PivotTable1</c:name>
    <c:fmtId val="3"/>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Product by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A7E8C"/>
          </a:solidFill>
          <a:ln>
            <a:noFill/>
          </a:ln>
          <a:effectLst/>
        </c:spPr>
      </c:pivotFmt>
      <c:pivotFmt>
        <c:idx val="2"/>
        <c:spPr>
          <a:solidFill>
            <a:srgbClr val="7799A6"/>
          </a:solidFill>
          <a:ln>
            <a:noFill/>
          </a:ln>
          <a:effectLst/>
        </c:spPr>
      </c:pivotFmt>
      <c:pivotFmt>
        <c:idx val="3"/>
        <c:spPr>
          <a:solidFill>
            <a:srgbClr val="9FB6BF"/>
          </a:solidFill>
          <a:ln>
            <a:noFill/>
          </a:ln>
          <a:effectLst/>
        </c:spPr>
      </c:pivotFmt>
      <c:pivotFmt>
        <c:idx val="4"/>
        <c:spPr>
          <a:solidFill>
            <a:srgbClr val="BFD1D9"/>
          </a:solidFill>
          <a:ln>
            <a:noFill/>
          </a:ln>
          <a:effectLst/>
        </c:spPr>
      </c:pivotFmt>
      <c:pivotFmt>
        <c:idx val="5"/>
        <c:spPr>
          <a:solidFill>
            <a:srgbClr val="EBF1F2"/>
          </a:solidFill>
          <a:ln>
            <a:noFill/>
          </a:ln>
          <a:effectLst/>
        </c:spPr>
      </c:pivotFmt>
      <c:pivotFmt>
        <c:idx val="6"/>
        <c:spPr>
          <a:solidFill>
            <a:srgbClr val="9FD6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A7E8C"/>
          </a:solidFill>
          <a:ln>
            <a:noFill/>
          </a:ln>
          <a:effectLst/>
        </c:spPr>
      </c:pivotFmt>
      <c:pivotFmt>
        <c:idx val="8"/>
        <c:spPr>
          <a:solidFill>
            <a:srgbClr val="7799A6"/>
          </a:solidFill>
          <a:ln>
            <a:noFill/>
          </a:ln>
          <a:effectLst/>
        </c:spPr>
      </c:pivotFmt>
      <c:pivotFmt>
        <c:idx val="9"/>
        <c:spPr>
          <a:solidFill>
            <a:srgbClr val="9FB6BF"/>
          </a:solidFill>
          <a:ln>
            <a:noFill/>
          </a:ln>
          <a:effectLst/>
        </c:spPr>
      </c:pivotFmt>
      <c:pivotFmt>
        <c:idx val="10"/>
        <c:spPr>
          <a:solidFill>
            <a:srgbClr val="BFD1D9"/>
          </a:solidFill>
          <a:ln>
            <a:noFill/>
          </a:ln>
          <a:effectLst/>
        </c:spPr>
      </c:pivotFmt>
      <c:pivotFmt>
        <c:idx val="11"/>
        <c:spPr>
          <a:solidFill>
            <a:srgbClr val="EBF1F2"/>
          </a:solidFill>
          <a:ln>
            <a:noFill/>
          </a:ln>
          <a:effectLst/>
        </c:spPr>
      </c:pivotFmt>
      <c:pivotFmt>
        <c:idx val="12"/>
        <c:spPr>
          <a:solidFill>
            <a:srgbClr val="9FD6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A7E8C"/>
          </a:solidFill>
          <a:ln>
            <a:noFill/>
          </a:ln>
          <a:effectLst/>
        </c:spPr>
      </c:pivotFmt>
      <c:pivotFmt>
        <c:idx val="14"/>
        <c:spPr>
          <a:solidFill>
            <a:srgbClr val="7799A6"/>
          </a:solidFill>
          <a:ln>
            <a:noFill/>
          </a:ln>
          <a:effectLst/>
        </c:spPr>
      </c:pivotFmt>
      <c:pivotFmt>
        <c:idx val="15"/>
        <c:spPr>
          <a:solidFill>
            <a:srgbClr val="9FB6BF"/>
          </a:solidFill>
          <a:ln>
            <a:noFill/>
          </a:ln>
          <a:effectLst/>
        </c:spPr>
      </c:pivotFmt>
      <c:pivotFmt>
        <c:idx val="16"/>
        <c:spPr>
          <a:solidFill>
            <a:srgbClr val="BFD1D9"/>
          </a:solidFill>
          <a:ln>
            <a:noFill/>
          </a:ln>
          <a:effectLst/>
        </c:spPr>
      </c:pivotFmt>
      <c:pivotFmt>
        <c:idx val="17"/>
        <c:spPr>
          <a:solidFill>
            <a:srgbClr val="EBF1F2"/>
          </a:solidFill>
          <a:ln>
            <a:noFill/>
          </a:ln>
          <a:effectLst/>
        </c:spPr>
      </c:pivotFmt>
    </c:pivotFmts>
    <c:plotArea>
      <c:layout/>
      <c:barChart>
        <c:barDir val="col"/>
        <c:grouping val="clustered"/>
        <c:varyColors val="0"/>
        <c:ser>
          <c:idx val="0"/>
          <c:order val="0"/>
          <c:tx>
            <c:strRef>
              <c:f>'Product by amount'!$B$3</c:f>
              <c:strCache>
                <c:ptCount val="1"/>
                <c:pt idx="0">
                  <c:v>Total</c:v>
                </c:pt>
              </c:strCache>
            </c:strRef>
          </c:tx>
          <c:spPr>
            <a:solidFill>
              <a:srgbClr val="9FD6FF"/>
            </a:solidFill>
            <a:ln>
              <a:noFill/>
            </a:ln>
            <a:effectLst/>
          </c:spPr>
          <c:invertIfNegative val="0"/>
          <c:dPt>
            <c:idx val="0"/>
            <c:invertIfNegative val="0"/>
            <c:bubble3D val="0"/>
            <c:spPr>
              <a:solidFill>
                <a:srgbClr val="5A7E8C"/>
              </a:solidFill>
              <a:ln>
                <a:noFill/>
              </a:ln>
              <a:effectLst/>
            </c:spPr>
            <c:extLst>
              <c:ext xmlns:c16="http://schemas.microsoft.com/office/drawing/2014/chart" uri="{C3380CC4-5D6E-409C-BE32-E72D297353CC}">
                <c16:uniqueId val="{00000001-0B54-481D-9BED-B4727D863AE3}"/>
              </c:ext>
            </c:extLst>
          </c:dPt>
          <c:dPt>
            <c:idx val="1"/>
            <c:invertIfNegative val="0"/>
            <c:bubble3D val="0"/>
            <c:spPr>
              <a:solidFill>
                <a:srgbClr val="7799A6"/>
              </a:solidFill>
              <a:ln>
                <a:noFill/>
              </a:ln>
              <a:effectLst/>
            </c:spPr>
            <c:extLst>
              <c:ext xmlns:c16="http://schemas.microsoft.com/office/drawing/2014/chart" uri="{C3380CC4-5D6E-409C-BE32-E72D297353CC}">
                <c16:uniqueId val="{00000003-0B54-481D-9BED-B4727D863AE3}"/>
              </c:ext>
            </c:extLst>
          </c:dPt>
          <c:dPt>
            <c:idx val="2"/>
            <c:invertIfNegative val="0"/>
            <c:bubble3D val="0"/>
            <c:spPr>
              <a:solidFill>
                <a:srgbClr val="9FB6BF"/>
              </a:solidFill>
              <a:ln>
                <a:noFill/>
              </a:ln>
              <a:effectLst/>
            </c:spPr>
            <c:extLst>
              <c:ext xmlns:c16="http://schemas.microsoft.com/office/drawing/2014/chart" uri="{C3380CC4-5D6E-409C-BE32-E72D297353CC}">
                <c16:uniqueId val="{00000005-0B54-481D-9BED-B4727D863AE3}"/>
              </c:ext>
            </c:extLst>
          </c:dPt>
          <c:dPt>
            <c:idx val="3"/>
            <c:invertIfNegative val="0"/>
            <c:bubble3D val="0"/>
            <c:spPr>
              <a:solidFill>
                <a:srgbClr val="BFD1D9"/>
              </a:solidFill>
              <a:ln>
                <a:noFill/>
              </a:ln>
              <a:effectLst/>
            </c:spPr>
            <c:extLst>
              <c:ext xmlns:c16="http://schemas.microsoft.com/office/drawing/2014/chart" uri="{C3380CC4-5D6E-409C-BE32-E72D297353CC}">
                <c16:uniqueId val="{00000007-0B54-481D-9BED-B4727D863AE3}"/>
              </c:ext>
            </c:extLst>
          </c:dPt>
          <c:dPt>
            <c:idx val="4"/>
            <c:invertIfNegative val="0"/>
            <c:bubble3D val="0"/>
            <c:spPr>
              <a:solidFill>
                <a:srgbClr val="EBF1F2"/>
              </a:solidFill>
              <a:ln>
                <a:noFill/>
              </a:ln>
              <a:effectLst/>
            </c:spPr>
            <c:extLst>
              <c:ext xmlns:c16="http://schemas.microsoft.com/office/drawing/2014/chart" uri="{C3380CC4-5D6E-409C-BE32-E72D297353CC}">
                <c16:uniqueId val="{00000009-0B54-481D-9BED-B4727D863AE3}"/>
              </c:ext>
            </c:extLst>
          </c:dPt>
          <c:dLbls>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by amount'!$A$4:$A$9</c:f>
              <c:strCache>
                <c:ptCount val="5"/>
                <c:pt idx="0">
                  <c:v>Burgers</c:v>
                </c:pt>
                <c:pt idx="1">
                  <c:v>Fries</c:v>
                </c:pt>
                <c:pt idx="2">
                  <c:v>Chicken Sandwiches</c:v>
                </c:pt>
                <c:pt idx="3">
                  <c:v>Beverages</c:v>
                </c:pt>
                <c:pt idx="4">
                  <c:v>Sides &amp; Other</c:v>
                </c:pt>
              </c:strCache>
            </c:strRef>
          </c:cat>
          <c:val>
            <c:numRef>
              <c:f>'Product by amount'!$B$4:$B$9</c:f>
              <c:numCache>
                <c:formatCode>[$$-1009]#,##0.00</c:formatCode>
                <c:ptCount val="5"/>
                <c:pt idx="0">
                  <c:v>376999.80689999991</c:v>
                </c:pt>
                <c:pt idx="1">
                  <c:v>125674.29029999988</c:v>
                </c:pt>
                <c:pt idx="2">
                  <c:v>114641.69500000002</c:v>
                </c:pt>
                <c:pt idx="3">
                  <c:v>103200.26299999992</c:v>
                </c:pt>
                <c:pt idx="4">
                  <c:v>48999.803999999967</c:v>
                </c:pt>
              </c:numCache>
            </c:numRef>
          </c:val>
          <c:extLst>
            <c:ext xmlns:c16="http://schemas.microsoft.com/office/drawing/2014/chart" uri="{C3380CC4-5D6E-409C-BE32-E72D297353CC}">
              <c16:uniqueId val="{0000000A-0B54-481D-9BED-B4727D863AE3}"/>
            </c:ext>
          </c:extLst>
        </c:ser>
        <c:dLbls>
          <c:showLegendKey val="0"/>
          <c:showVal val="0"/>
          <c:showCatName val="0"/>
          <c:showSerName val="0"/>
          <c:showPercent val="0"/>
          <c:showBubbleSize val="0"/>
        </c:dLbls>
        <c:gapWidth val="20"/>
        <c:overlap val="-27"/>
        <c:axId val="585948688"/>
        <c:axId val="585954928"/>
      </c:barChart>
      <c:catAx>
        <c:axId val="58594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crossAx val="585954928"/>
        <c:crosses val="autoZero"/>
        <c:auto val="1"/>
        <c:lblAlgn val="ctr"/>
        <c:lblOffset val="100"/>
        <c:noMultiLvlLbl val="0"/>
      </c:catAx>
      <c:valAx>
        <c:axId val="585954928"/>
        <c:scaling>
          <c:orientation val="minMax"/>
        </c:scaling>
        <c:delete val="1"/>
        <c:axPos val="l"/>
        <c:numFmt formatCode="[$$-1009]#,##0.00" sourceLinked="1"/>
        <c:majorTickMark val="none"/>
        <c:minorTickMark val="none"/>
        <c:tickLblPos val="nextTo"/>
        <c:crossAx val="58594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8F9"/>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Updated.xlsx]Purchase Type by Amount!PivotTable1</c:name>
    <c:fmtId val="5"/>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Purchase Type by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1CA6"/>
          </a:solidFill>
          <a:ln>
            <a:noFill/>
          </a:ln>
          <a:effectLst/>
        </c:spPr>
      </c:pivotFmt>
      <c:pivotFmt>
        <c:idx val="2"/>
        <c:spPr>
          <a:solidFill>
            <a:srgbClr val="0339A6"/>
          </a:solidFill>
          <a:ln>
            <a:noFill/>
          </a:ln>
          <a:effectLst/>
        </c:spPr>
      </c:pivotFmt>
      <c:pivotFmt>
        <c:idx val="3"/>
        <c:spPr>
          <a:solidFill>
            <a:srgbClr val="0468BF"/>
          </a:solidFill>
          <a:ln>
            <a:noFill/>
          </a:ln>
          <a:effectLst/>
        </c:spPr>
      </c:pivotFmt>
      <c:pivotFmt>
        <c:idx val="4"/>
        <c:spPr>
          <a:solidFill>
            <a:srgbClr val="049DD9"/>
          </a:solidFill>
          <a:ln>
            <a:noFill/>
          </a:ln>
          <a:effectLst/>
        </c:spPr>
      </c:pivotFmt>
      <c:pivotFmt>
        <c:idx val="5"/>
        <c:spPr>
          <a:solidFill>
            <a:srgbClr val="04B2D9"/>
          </a:solidFill>
          <a:ln>
            <a:noFill/>
          </a:ln>
          <a:effectLst/>
        </c:spPr>
      </c:pivotFmt>
      <c:pivotFmt>
        <c:idx val="6"/>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1CA6"/>
          </a:solidFill>
          <a:ln>
            <a:noFill/>
          </a:ln>
          <a:effectLst/>
        </c:spPr>
      </c:pivotFmt>
      <c:pivotFmt>
        <c:idx val="8"/>
        <c:spPr>
          <a:solidFill>
            <a:srgbClr val="0339A6"/>
          </a:solidFill>
          <a:ln>
            <a:noFill/>
          </a:ln>
          <a:effectLst/>
        </c:spPr>
      </c:pivotFmt>
      <c:pivotFmt>
        <c:idx val="9"/>
        <c:spPr>
          <a:solidFill>
            <a:srgbClr val="0468BF"/>
          </a:solidFill>
          <a:ln>
            <a:noFill/>
          </a:ln>
          <a:effectLst/>
        </c:spPr>
      </c:pivotFmt>
      <c:pivotFmt>
        <c:idx val="10"/>
        <c:spPr>
          <a:solidFill>
            <a:srgbClr val="049DD9"/>
          </a:solidFill>
          <a:ln>
            <a:noFill/>
          </a:ln>
          <a:effectLst/>
        </c:spPr>
      </c:pivotFmt>
      <c:pivotFmt>
        <c:idx val="11"/>
        <c:spPr>
          <a:solidFill>
            <a:srgbClr val="04B2D9"/>
          </a:solidFill>
          <a:ln>
            <a:noFill/>
          </a:ln>
          <a:effectLst/>
        </c:spPr>
      </c:pivotFmt>
      <c:pivotFmt>
        <c:idx val="12"/>
        <c:spPr>
          <a:solidFill>
            <a:srgbClr val="5A7E8C"/>
          </a:solidFill>
          <a:ln>
            <a:solidFill>
              <a:schemeClr val="bg1"/>
            </a:solidFill>
          </a:ln>
          <a:effectLst/>
        </c:spPr>
        <c:dLbl>
          <c:idx val="0"/>
          <c:layout>
            <c:manualLayout>
              <c:x val="0.1111111111111111"/>
              <c:y val="-2.7777777777777776E-2"/>
            </c:manualLayout>
          </c:layout>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799A6"/>
          </a:solidFill>
          <a:ln>
            <a:solidFill>
              <a:schemeClr val="bg1"/>
            </a:solidFill>
          </a:ln>
          <a:effectLst/>
        </c:spPr>
        <c:dLbl>
          <c:idx val="0"/>
          <c:layout>
            <c:manualLayout>
              <c:x val="-0.1"/>
              <c:y val="9.7222222222222224E-2"/>
            </c:manualLayout>
          </c:layout>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FB6BF"/>
          </a:solidFill>
          <a:ln>
            <a:solidFill>
              <a:schemeClr val="bg1"/>
            </a:solidFill>
          </a:ln>
          <a:effectLst/>
        </c:spPr>
        <c:dLbl>
          <c:idx val="0"/>
          <c:layout>
            <c:manualLayout>
              <c:x val="-0.11944444444444449"/>
              <c:y val="-5.0925925925925972E-2"/>
            </c:manualLayout>
          </c:layout>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A7E8C"/>
          </a:solidFill>
          <a:ln>
            <a:solidFill>
              <a:schemeClr val="bg1"/>
            </a:solidFill>
          </a:ln>
          <a:effectLst/>
        </c:spPr>
        <c:dLbl>
          <c:idx val="0"/>
          <c:layout>
            <c:manualLayout>
              <c:x val="0.1111111111111111"/>
              <c:y val="-2.7777777777777776E-2"/>
            </c:manualLayout>
          </c:layout>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799A6"/>
          </a:solidFill>
          <a:ln>
            <a:solidFill>
              <a:schemeClr val="bg1"/>
            </a:solidFill>
          </a:ln>
          <a:effectLst/>
        </c:spPr>
        <c:dLbl>
          <c:idx val="0"/>
          <c:layout>
            <c:manualLayout>
              <c:x val="-0.1"/>
              <c:y val="9.7222222222222224E-2"/>
            </c:manualLayout>
          </c:layout>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FB6BF"/>
          </a:solidFill>
          <a:ln>
            <a:solidFill>
              <a:schemeClr val="bg1"/>
            </a:solidFill>
          </a:ln>
          <a:effectLst/>
        </c:spPr>
        <c:dLbl>
          <c:idx val="0"/>
          <c:layout>
            <c:manualLayout>
              <c:x val="-0.11944444444444449"/>
              <c:y val="-5.0925925925925972E-2"/>
            </c:manualLayout>
          </c:layout>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5A7E8C"/>
          </a:solidFill>
          <a:ln>
            <a:solidFill>
              <a:schemeClr val="bg1"/>
            </a:solidFill>
          </a:ln>
          <a:effectLst/>
        </c:spPr>
        <c:dLbl>
          <c:idx val="0"/>
          <c:layout>
            <c:manualLayout>
              <c:x val="0.1111111111111111"/>
              <c:y val="-2.7777777777777776E-2"/>
            </c:manualLayout>
          </c:layout>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799A6"/>
          </a:solidFill>
          <a:ln>
            <a:solidFill>
              <a:schemeClr val="bg1"/>
            </a:solidFill>
          </a:ln>
          <a:effectLst/>
        </c:spPr>
        <c:dLbl>
          <c:idx val="0"/>
          <c:layout>
            <c:manualLayout>
              <c:x val="-0.1"/>
              <c:y val="9.7222222222222224E-2"/>
            </c:manualLayout>
          </c:layout>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9FB6BF"/>
          </a:solidFill>
          <a:ln>
            <a:solidFill>
              <a:schemeClr val="bg1"/>
            </a:solidFill>
          </a:ln>
          <a:effectLst/>
        </c:spPr>
        <c:dLbl>
          <c:idx val="0"/>
          <c:layout>
            <c:manualLayout>
              <c:x val="-0.11944444444444449"/>
              <c:y val="-5.0925925925925972E-2"/>
            </c:manualLayout>
          </c:layout>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'Purchase Type by Amount'!$B$3</c:f>
              <c:strCache>
                <c:ptCount val="1"/>
                <c:pt idx="0">
                  <c:v>Total</c:v>
                </c:pt>
              </c:strCache>
            </c:strRef>
          </c:tx>
          <c:spPr>
            <a:solidFill>
              <a:srgbClr val="9FD6FF"/>
            </a:solidFill>
            <a:ln>
              <a:solidFill>
                <a:schemeClr val="bg1"/>
              </a:solidFill>
            </a:ln>
          </c:spPr>
          <c:dPt>
            <c:idx val="0"/>
            <c:bubble3D val="0"/>
            <c:spPr>
              <a:solidFill>
                <a:srgbClr val="5A7E8C"/>
              </a:solidFill>
              <a:ln>
                <a:solidFill>
                  <a:schemeClr val="bg1"/>
                </a:solidFill>
              </a:ln>
              <a:effectLst/>
            </c:spPr>
            <c:extLst>
              <c:ext xmlns:c16="http://schemas.microsoft.com/office/drawing/2014/chart" uri="{C3380CC4-5D6E-409C-BE32-E72D297353CC}">
                <c16:uniqueId val="{00000001-EF4B-4266-A27E-06642FBCB516}"/>
              </c:ext>
            </c:extLst>
          </c:dPt>
          <c:dPt>
            <c:idx val="1"/>
            <c:bubble3D val="0"/>
            <c:spPr>
              <a:solidFill>
                <a:srgbClr val="7799A6"/>
              </a:solidFill>
              <a:ln>
                <a:solidFill>
                  <a:schemeClr val="bg1"/>
                </a:solidFill>
              </a:ln>
              <a:effectLst/>
            </c:spPr>
            <c:extLst>
              <c:ext xmlns:c16="http://schemas.microsoft.com/office/drawing/2014/chart" uri="{C3380CC4-5D6E-409C-BE32-E72D297353CC}">
                <c16:uniqueId val="{00000003-EF4B-4266-A27E-06642FBCB516}"/>
              </c:ext>
            </c:extLst>
          </c:dPt>
          <c:dPt>
            <c:idx val="2"/>
            <c:bubble3D val="0"/>
            <c:spPr>
              <a:solidFill>
                <a:srgbClr val="9FB6BF"/>
              </a:solidFill>
              <a:ln>
                <a:solidFill>
                  <a:schemeClr val="bg1"/>
                </a:solidFill>
              </a:ln>
              <a:effectLst/>
            </c:spPr>
            <c:extLst>
              <c:ext xmlns:c16="http://schemas.microsoft.com/office/drawing/2014/chart" uri="{C3380CC4-5D6E-409C-BE32-E72D297353CC}">
                <c16:uniqueId val="{00000005-EF4B-4266-A27E-06642FBCB516}"/>
              </c:ext>
            </c:extLst>
          </c:dPt>
          <c:dPt>
            <c:idx val="3"/>
            <c:bubble3D val="0"/>
            <c:spPr>
              <a:solidFill>
                <a:srgbClr val="9FD6FF"/>
              </a:solidFill>
              <a:ln>
                <a:solidFill>
                  <a:schemeClr val="bg1"/>
                </a:solidFill>
              </a:ln>
              <a:effectLst/>
            </c:spPr>
            <c:extLst>
              <c:ext xmlns:c16="http://schemas.microsoft.com/office/drawing/2014/chart" uri="{C3380CC4-5D6E-409C-BE32-E72D297353CC}">
                <c16:uniqueId val="{00000007-EF4B-4266-A27E-06642FBCB516}"/>
              </c:ext>
            </c:extLst>
          </c:dPt>
          <c:dPt>
            <c:idx val="4"/>
            <c:bubble3D val="0"/>
            <c:spPr>
              <a:solidFill>
                <a:srgbClr val="9FD6FF"/>
              </a:solidFill>
              <a:ln>
                <a:solidFill>
                  <a:schemeClr val="bg1"/>
                </a:solidFill>
              </a:ln>
              <a:effectLst/>
            </c:spPr>
            <c:extLst>
              <c:ext xmlns:c16="http://schemas.microsoft.com/office/drawing/2014/chart" uri="{C3380CC4-5D6E-409C-BE32-E72D297353CC}">
                <c16:uniqueId val="{00000009-EF4B-4266-A27E-06642FBCB516}"/>
              </c:ext>
            </c:extLst>
          </c:dPt>
          <c:dLbls>
            <c:dLbl>
              <c:idx val="0"/>
              <c:layout>
                <c:manualLayout>
                  <c:x val="0.1111111111111111"/>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4B-4266-A27E-06642FBCB516}"/>
                </c:ext>
              </c:extLst>
            </c:dLbl>
            <c:dLbl>
              <c:idx val="1"/>
              <c:layout>
                <c:manualLayout>
                  <c:x val="-0.1"/>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4B-4266-A27E-06642FBCB516}"/>
                </c:ext>
              </c:extLst>
            </c:dLbl>
            <c:dLbl>
              <c:idx val="2"/>
              <c:layout>
                <c:manualLayout>
                  <c:x val="-0.11944444444444449"/>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4B-4266-A27E-06642FBCB516}"/>
                </c:ext>
              </c:extLst>
            </c:dLbl>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'Purchase Type by Amount'!$A$4:$A$7</c:f>
              <c:strCache>
                <c:ptCount val="3"/>
                <c:pt idx="0">
                  <c:v>Online </c:v>
                </c:pt>
                <c:pt idx="1">
                  <c:v>In-store </c:v>
                </c:pt>
                <c:pt idx="2">
                  <c:v>Drive-thru </c:v>
                </c:pt>
              </c:strCache>
            </c:strRef>
          </c:cat>
          <c:val>
            <c:numRef>
              <c:f>'Purchase Type by Amount'!$B$4:$B$7</c:f>
              <c:numCache>
                <c:formatCode>0.00%</c:formatCode>
                <c:ptCount val="3"/>
                <c:pt idx="0">
                  <c:v>0.39661481066458038</c:v>
                </c:pt>
                <c:pt idx="1">
                  <c:v>0.37129059262928327</c:v>
                </c:pt>
                <c:pt idx="2">
                  <c:v>0.23209459670613636</c:v>
                </c:pt>
              </c:numCache>
            </c:numRef>
          </c:val>
          <c:extLst>
            <c:ext xmlns:c16="http://schemas.microsoft.com/office/drawing/2014/chart" uri="{C3380CC4-5D6E-409C-BE32-E72D297353CC}">
              <c16:uniqueId val="{0000000A-EF4B-4266-A27E-06642FBCB51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8F9"/>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Updated.xlsx]Weekly Sales Trends!PivotTable1</c:name>
    <c:fmtId val="15"/>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Weekly 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1CA6"/>
          </a:solidFill>
          <a:ln>
            <a:noFill/>
          </a:ln>
          <a:effectLst/>
        </c:spPr>
      </c:pivotFmt>
      <c:pivotFmt>
        <c:idx val="2"/>
        <c:spPr>
          <a:solidFill>
            <a:srgbClr val="0339A6"/>
          </a:solidFill>
          <a:ln>
            <a:noFill/>
          </a:ln>
          <a:effectLst/>
        </c:spPr>
      </c:pivotFmt>
      <c:pivotFmt>
        <c:idx val="3"/>
        <c:spPr>
          <a:solidFill>
            <a:srgbClr val="0468BF"/>
          </a:solidFill>
          <a:ln>
            <a:noFill/>
          </a:ln>
          <a:effectLst/>
        </c:spPr>
      </c:pivotFmt>
      <c:pivotFmt>
        <c:idx val="4"/>
        <c:spPr>
          <a:solidFill>
            <a:srgbClr val="049DD9"/>
          </a:solidFill>
          <a:ln>
            <a:noFill/>
          </a:ln>
          <a:effectLst/>
        </c:spPr>
      </c:pivotFmt>
      <c:pivotFmt>
        <c:idx val="5"/>
        <c:spPr>
          <a:solidFill>
            <a:srgbClr val="04B2D9"/>
          </a:solidFill>
          <a:ln>
            <a:noFill/>
          </a:ln>
          <a:effectLst/>
        </c:spPr>
      </c:pivotFmt>
      <c:pivotFmt>
        <c:idx val="6"/>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1CA6"/>
          </a:solidFill>
          <a:ln>
            <a:noFill/>
          </a:ln>
          <a:effectLst/>
        </c:spPr>
      </c:pivotFmt>
      <c:pivotFmt>
        <c:idx val="8"/>
        <c:spPr>
          <a:solidFill>
            <a:srgbClr val="0339A6"/>
          </a:solidFill>
          <a:ln>
            <a:noFill/>
          </a:ln>
          <a:effectLst/>
        </c:spPr>
      </c:pivotFmt>
      <c:pivotFmt>
        <c:idx val="9"/>
        <c:spPr>
          <a:solidFill>
            <a:srgbClr val="0468BF"/>
          </a:solidFill>
          <a:ln>
            <a:noFill/>
          </a:ln>
          <a:effectLst/>
        </c:spPr>
      </c:pivotFmt>
      <c:pivotFmt>
        <c:idx val="10"/>
        <c:spPr>
          <a:solidFill>
            <a:srgbClr val="049DD9"/>
          </a:solidFill>
          <a:ln>
            <a:noFill/>
          </a:ln>
          <a:effectLst/>
        </c:spPr>
      </c:pivotFmt>
      <c:pivotFmt>
        <c:idx val="11"/>
        <c:spPr>
          <a:solidFill>
            <a:srgbClr val="04B2D9"/>
          </a:solidFill>
          <a:ln>
            <a:noFill/>
          </a:ln>
          <a:effectLst/>
        </c:spPr>
      </c:pivotFmt>
      <c:pivotFmt>
        <c:idx val="12"/>
        <c:spPr>
          <a:solidFill>
            <a:srgbClr val="5A7E8C"/>
          </a:solidFill>
          <a:ln>
            <a:solidFill>
              <a:schemeClr val="bg1"/>
            </a:solidFill>
          </a:ln>
          <a:effectLst/>
        </c:spPr>
      </c:pivotFmt>
      <c:pivotFmt>
        <c:idx val="13"/>
        <c:spPr>
          <a:solidFill>
            <a:srgbClr val="7799A6"/>
          </a:solidFill>
          <a:ln>
            <a:solidFill>
              <a:schemeClr val="bg1"/>
            </a:solidFill>
          </a:ln>
          <a:effectLst/>
        </c:spPr>
      </c:pivotFmt>
      <c:pivotFmt>
        <c:idx val="14"/>
        <c:spPr>
          <a:solidFill>
            <a:srgbClr val="9FB6BF"/>
          </a:solidFill>
          <a:ln>
            <a:solidFill>
              <a:schemeClr val="bg1"/>
            </a:solidFill>
          </a:ln>
          <a:effectLst/>
        </c:spPr>
      </c:pivotFmt>
      <c:pivotFmt>
        <c:idx val="1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A7E8C"/>
          </a:solidFill>
          <a:ln>
            <a:solidFill>
              <a:schemeClr val="bg1"/>
            </a:solidFill>
          </a:ln>
          <a:effectLst/>
        </c:spPr>
      </c:pivotFmt>
      <c:pivotFmt>
        <c:idx val="17"/>
        <c:spPr>
          <a:solidFill>
            <a:srgbClr val="7799A6"/>
          </a:solidFill>
          <a:ln>
            <a:solidFill>
              <a:schemeClr val="bg1"/>
            </a:solidFill>
          </a:ln>
          <a:effectLst/>
        </c:spPr>
      </c:pivotFmt>
      <c:pivotFmt>
        <c:idx val="18"/>
        <c:spPr>
          <a:solidFill>
            <a:srgbClr val="9FB6BF"/>
          </a:solidFill>
          <a:ln>
            <a:solidFill>
              <a:schemeClr val="bg1"/>
            </a:solidFill>
          </a:ln>
          <a:effectLst/>
        </c:spPr>
      </c:pivotFmt>
      <c:pivotFmt>
        <c:idx val="19"/>
        <c:spPr>
          <a:solidFill>
            <a:srgbClr val="5A7E8C">
              <a:alpha val="95000"/>
            </a:srgbClr>
          </a:solidFill>
          <a:ln>
            <a:solidFill>
              <a:schemeClr val="bg1">
                <a:alpha val="98000"/>
              </a:schemeClr>
            </a:solidFill>
          </a:ln>
          <a:effectLst/>
        </c:spPr>
      </c:pivotFmt>
      <c:pivotFmt>
        <c:idx val="20"/>
        <c:spPr>
          <a:solidFill>
            <a:srgbClr val="7799A6">
              <a:alpha val="95000"/>
            </a:srgbClr>
          </a:solidFill>
          <a:ln>
            <a:solidFill>
              <a:schemeClr val="bg1">
                <a:alpha val="98000"/>
              </a:schemeClr>
            </a:solidFill>
          </a:ln>
          <a:effectLst/>
        </c:spPr>
      </c:pivotFmt>
      <c:pivotFmt>
        <c:idx val="21"/>
        <c:spPr>
          <a:solidFill>
            <a:srgbClr val="9FB6BF">
              <a:alpha val="95000"/>
            </a:srgbClr>
          </a:solidFill>
          <a:ln>
            <a:solidFill>
              <a:schemeClr val="bg1">
                <a:alpha val="98000"/>
              </a:schemeClr>
            </a:solidFill>
          </a:ln>
          <a:effectLst/>
        </c:spPr>
      </c:pivotFmt>
      <c:pivotFmt>
        <c:idx val="22"/>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A7E8C">
              <a:alpha val="95000"/>
            </a:srgbClr>
          </a:solidFill>
          <a:ln>
            <a:solidFill>
              <a:schemeClr val="bg1">
                <a:alpha val="98000"/>
              </a:schemeClr>
            </a:solidFill>
          </a:ln>
          <a:effectLst/>
        </c:spPr>
      </c:pivotFmt>
      <c:pivotFmt>
        <c:idx val="24"/>
        <c:spPr>
          <a:solidFill>
            <a:srgbClr val="7799A6">
              <a:alpha val="95000"/>
            </a:srgbClr>
          </a:solidFill>
          <a:ln>
            <a:solidFill>
              <a:schemeClr val="bg1">
                <a:alpha val="98000"/>
              </a:schemeClr>
            </a:solidFill>
          </a:ln>
          <a:effectLst/>
        </c:spPr>
      </c:pivotFmt>
      <c:pivotFmt>
        <c:idx val="25"/>
        <c:spPr>
          <a:solidFill>
            <a:srgbClr val="9FB6BF">
              <a:alpha val="95000"/>
            </a:srgbClr>
          </a:solidFill>
          <a:ln>
            <a:solidFill>
              <a:schemeClr val="bg1">
                <a:alpha val="98000"/>
              </a:schemeClr>
            </a:solidFill>
          </a:ln>
          <a:effectLst/>
        </c:spPr>
      </c:pivotFmt>
      <c:pivotFmt>
        <c:idx val="26"/>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A7E8C">
              <a:alpha val="95000"/>
            </a:srgbClr>
          </a:solidFill>
          <a:ln>
            <a:solidFill>
              <a:schemeClr val="bg1">
                <a:alpha val="98000"/>
              </a:schemeClr>
            </a:solidFill>
          </a:ln>
          <a:effectLst/>
        </c:spPr>
      </c:pivotFmt>
      <c:pivotFmt>
        <c:idx val="28"/>
        <c:spPr>
          <a:solidFill>
            <a:srgbClr val="7799A6">
              <a:alpha val="95000"/>
            </a:srgbClr>
          </a:solidFill>
          <a:ln>
            <a:solidFill>
              <a:schemeClr val="bg1">
                <a:alpha val="98000"/>
              </a:schemeClr>
            </a:solidFill>
          </a:ln>
          <a:effectLst/>
        </c:spPr>
      </c:pivotFmt>
      <c:pivotFmt>
        <c:idx val="29"/>
        <c:spPr>
          <a:solidFill>
            <a:srgbClr val="9FB6BF">
              <a:alpha val="95000"/>
            </a:srgbClr>
          </a:solidFill>
          <a:ln>
            <a:solidFill>
              <a:schemeClr val="bg1">
                <a:alpha val="98000"/>
              </a:schemeClr>
            </a:solidFill>
          </a:ln>
          <a:effectLst/>
        </c:spPr>
      </c:pivotFmt>
      <c:pivotFmt>
        <c:idx val="30"/>
        <c:spPr>
          <a:solidFill>
            <a:srgbClr val="5A7E8C">
              <a:alpha val="95000"/>
            </a:srgbClr>
          </a:solidFill>
          <a:ln>
            <a:solidFill>
              <a:schemeClr val="bg1">
                <a:alpha val="98000"/>
              </a:schemeClr>
            </a:solidFill>
          </a:ln>
          <a:effectLst/>
        </c:spPr>
      </c:pivotFmt>
      <c:pivotFmt>
        <c:idx val="31"/>
        <c:spPr>
          <a:solidFill>
            <a:srgbClr val="7799A6">
              <a:alpha val="95000"/>
            </a:srgbClr>
          </a:solidFill>
          <a:ln>
            <a:solidFill>
              <a:schemeClr val="bg1">
                <a:alpha val="98000"/>
              </a:schemeClr>
            </a:solidFill>
          </a:ln>
          <a:effectLst/>
        </c:spPr>
      </c:pivotFmt>
      <c:pivotFmt>
        <c:idx val="32"/>
        <c:spPr>
          <a:solidFill>
            <a:srgbClr val="9FB6BF">
              <a:alpha val="95000"/>
            </a:srgbClr>
          </a:solidFill>
          <a:ln>
            <a:solidFill>
              <a:schemeClr val="bg1">
                <a:alpha val="98000"/>
              </a:schemeClr>
            </a:solidFill>
          </a:ln>
          <a:effectLst/>
        </c:spPr>
      </c:pivotFmt>
      <c:pivotFmt>
        <c:idx val="33"/>
        <c:spPr>
          <a:solidFill>
            <a:srgbClr val="BFD1D9">
              <a:alpha val="95000"/>
            </a:srgbClr>
          </a:solidFill>
          <a:ln>
            <a:solidFill>
              <a:schemeClr val="bg1">
                <a:alpha val="98000"/>
              </a:schemeClr>
            </a:solidFill>
          </a:ln>
          <a:effectLst/>
        </c:spPr>
      </c:pivotFmt>
      <c:pivotFmt>
        <c:idx val="34"/>
        <c:spPr>
          <a:solidFill>
            <a:srgbClr val="EBF1F2">
              <a:alpha val="95000"/>
            </a:srgbClr>
          </a:solidFill>
          <a:ln>
            <a:solidFill>
              <a:schemeClr val="bg1">
                <a:alpha val="98000"/>
              </a:schemeClr>
            </a:solidFill>
          </a:ln>
          <a:effectLst/>
        </c:spPr>
      </c:pivotFmt>
      <c:pivotFmt>
        <c:idx val="3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A7E8C">
              <a:alpha val="95000"/>
            </a:srgbClr>
          </a:solidFill>
          <a:ln>
            <a:solidFill>
              <a:schemeClr val="bg1">
                <a:alpha val="98000"/>
              </a:schemeClr>
            </a:solidFill>
          </a:ln>
          <a:effectLst/>
        </c:spPr>
      </c:pivotFmt>
      <c:pivotFmt>
        <c:idx val="37"/>
        <c:spPr>
          <a:solidFill>
            <a:srgbClr val="7799A6">
              <a:alpha val="95000"/>
            </a:srgbClr>
          </a:solidFill>
          <a:ln>
            <a:solidFill>
              <a:schemeClr val="bg1">
                <a:alpha val="98000"/>
              </a:schemeClr>
            </a:solidFill>
          </a:ln>
          <a:effectLst/>
        </c:spPr>
      </c:pivotFmt>
      <c:pivotFmt>
        <c:idx val="38"/>
        <c:spPr>
          <a:solidFill>
            <a:srgbClr val="9FB6BF">
              <a:alpha val="95000"/>
            </a:srgbClr>
          </a:solidFill>
          <a:ln>
            <a:solidFill>
              <a:schemeClr val="bg1">
                <a:alpha val="98000"/>
              </a:schemeClr>
            </a:solidFill>
          </a:ln>
          <a:effectLst/>
        </c:spPr>
      </c:pivotFmt>
      <c:pivotFmt>
        <c:idx val="39"/>
        <c:spPr>
          <a:solidFill>
            <a:srgbClr val="BFD1D9">
              <a:alpha val="95000"/>
            </a:srgbClr>
          </a:solidFill>
          <a:ln>
            <a:solidFill>
              <a:schemeClr val="bg1">
                <a:alpha val="98000"/>
              </a:schemeClr>
            </a:solidFill>
          </a:ln>
          <a:effectLst/>
        </c:spPr>
      </c:pivotFmt>
      <c:pivotFmt>
        <c:idx val="40"/>
        <c:spPr>
          <a:solidFill>
            <a:srgbClr val="EBF1F2">
              <a:alpha val="95000"/>
            </a:srgbClr>
          </a:solidFill>
          <a:ln>
            <a:solidFill>
              <a:schemeClr val="bg1">
                <a:alpha val="98000"/>
              </a:schemeClr>
            </a:solidFill>
          </a:ln>
          <a:effectLst/>
        </c:spPr>
      </c:pivotFmt>
      <c:pivotFmt>
        <c:idx val="41"/>
        <c:spPr>
          <a:solidFill>
            <a:srgbClr val="5A7E8C">
              <a:alpha val="95000"/>
            </a:srgbClr>
          </a:solidFill>
          <a:ln>
            <a:solidFill>
              <a:schemeClr val="bg1">
                <a:alpha val="98000"/>
              </a:schemeClr>
            </a:solidFill>
          </a:ln>
          <a:effectLst/>
        </c:spPr>
      </c:pivotFmt>
      <c:pivotFmt>
        <c:idx val="42"/>
        <c:spPr>
          <a:solidFill>
            <a:srgbClr val="7799A6">
              <a:alpha val="95000"/>
            </a:srgbClr>
          </a:solidFill>
          <a:ln>
            <a:solidFill>
              <a:schemeClr val="bg1">
                <a:alpha val="98000"/>
              </a:schemeClr>
            </a:solidFill>
          </a:ln>
          <a:effectLst/>
        </c:spPr>
      </c:pivotFmt>
      <c:pivotFmt>
        <c:idx val="43"/>
        <c:spPr>
          <a:solidFill>
            <a:schemeClr val="accent1"/>
          </a:solidFill>
          <a:ln w="28575" cap="rnd">
            <a:solidFill>
              <a:srgbClr val="5A7E8C">
                <a:alpha val="98000"/>
              </a:srgb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7799A6">
              <a:alpha val="95000"/>
            </a:srgbClr>
          </a:solidFill>
          <a:ln>
            <a:solidFill>
              <a:schemeClr val="bg1">
                <a:alpha val="98000"/>
              </a:schemeClr>
            </a:solidFill>
          </a:ln>
          <a:effectLst/>
        </c:spPr>
      </c:pivotFmt>
      <c:pivotFmt>
        <c:idx val="45"/>
        <c:spPr>
          <a:solidFill>
            <a:srgbClr val="5A7E8C">
              <a:alpha val="95000"/>
            </a:srgbClr>
          </a:solidFill>
          <a:ln>
            <a:solidFill>
              <a:schemeClr val="bg1">
                <a:alpha val="98000"/>
              </a:schemeClr>
            </a:solidFill>
          </a:ln>
          <a:effectLst/>
        </c:spPr>
      </c:pivotFmt>
      <c:pivotFmt>
        <c:idx val="46"/>
        <c:spPr>
          <a:solidFill>
            <a:schemeClr val="accent1"/>
          </a:solidFill>
          <a:ln w="28575" cap="rnd">
            <a:solidFill>
              <a:srgbClr val="5A7E8C">
                <a:alpha val="98000"/>
              </a:srgb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rgbClr val="5A7E8C">
                <a:alpha val="98000"/>
              </a:srgb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 Sales Trends'!$B$3</c:f>
              <c:strCache>
                <c:ptCount val="1"/>
                <c:pt idx="0">
                  <c:v>Total</c:v>
                </c:pt>
              </c:strCache>
            </c:strRef>
          </c:tx>
          <c:spPr>
            <a:ln w="28575" cap="rnd">
              <a:solidFill>
                <a:srgbClr val="5A7E8C">
                  <a:alpha val="98000"/>
                </a:srgbClr>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Sales Trends'!$A$4:$A$11</c:f>
              <c:strCache>
                <c:ptCount val="7"/>
                <c:pt idx="0">
                  <c:v>Mon</c:v>
                </c:pt>
                <c:pt idx="1">
                  <c:v>Tue</c:v>
                </c:pt>
                <c:pt idx="2">
                  <c:v>Wed</c:v>
                </c:pt>
                <c:pt idx="3">
                  <c:v>Thu</c:v>
                </c:pt>
                <c:pt idx="4">
                  <c:v>Fri</c:v>
                </c:pt>
                <c:pt idx="5">
                  <c:v>Sat</c:v>
                </c:pt>
                <c:pt idx="6">
                  <c:v>Sun</c:v>
                </c:pt>
              </c:strCache>
            </c:strRef>
          </c:cat>
          <c:val>
            <c:numRef>
              <c:f>'Weekly Sales Trends'!$B$4:$B$11</c:f>
              <c:numCache>
                <c:formatCode>[$$-1009]#,##0.00</c:formatCode>
                <c:ptCount val="7"/>
                <c:pt idx="0">
                  <c:v>112039.55739999998</c:v>
                </c:pt>
                <c:pt idx="1">
                  <c:v>114600.35209999997</c:v>
                </c:pt>
                <c:pt idx="2">
                  <c:v>117800.20879999998</c:v>
                </c:pt>
                <c:pt idx="3">
                  <c:v>116200.47279999999</c:v>
                </c:pt>
                <c:pt idx="4">
                  <c:v>101800.28089999997</c:v>
                </c:pt>
                <c:pt idx="5">
                  <c:v>101600.33069999999</c:v>
                </c:pt>
                <c:pt idx="6">
                  <c:v>105474.65649999997</c:v>
                </c:pt>
              </c:numCache>
            </c:numRef>
          </c:val>
          <c:smooth val="0"/>
          <c:extLst>
            <c:ext xmlns:c16="http://schemas.microsoft.com/office/drawing/2014/chart" uri="{C3380CC4-5D6E-409C-BE32-E72D297353CC}">
              <c16:uniqueId val="{00000000-4119-4421-AAAC-8AB185B5B877}"/>
            </c:ext>
          </c:extLst>
        </c:ser>
        <c:dLbls>
          <c:dLblPos val="b"/>
          <c:showLegendKey val="0"/>
          <c:showVal val="1"/>
          <c:showCatName val="0"/>
          <c:showSerName val="0"/>
          <c:showPercent val="0"/>
          <c:showBubbleSize val="0"/>
        </c:dLbls>
        <c:smooth val="0"/>
        <c:axId val="2038590479"/>
        <c:axId val="2038578959"/>
      </c:lineChart>
      <c:catAx>
        <c:axId val="2038590479"/>
        <c:scaling>
          <c:orientation val="minMax"/>
        </c:scaling>
        <c:delete val="0"/>
        <c:axPos val="b"/>
        <c:numFmt formatCode="General" sourceLinked="1"/>
        <c:majorTickMark val="out"/>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crossAx val="2038578959"/>
        <c:crosses val="autoZero"/>
        <c:auto val="1"/>
        <c:lblAlgn val="ctr"/>
        <c:lblOffset val="100"/>
        <c:noMultiLvlLbl val="0"/>
      </c:catAx>
      <c:valAx>
        <c:axId val="2038578959"/>
        <c:scaling>
          <c:orientation val="minMax"/>
        </c:scaling>
        <c:delete val="1"/>
        <c:axPos val="l"/>
        <c:numFmt formatCode="[$$-1009]#,##0.00" sourceLinked="1"/>
        <c:majorTickMark val="out"/>
        <c:minorTickMark val="none"/>
        <c:tickLblPos val="nextTo"/>
        <c:crossAx val="203859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8F9"/>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Updated.xlsx]Monthly Sales!PivotTable1</c:name>
    <c:fmtId val="12"/>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1CA6"/>
          </a:solidFill>
          <a:ln>
            <a:noFill/>
          </a:ln>
          <a:effectLst/>
        </c:spPr>
      </c:pivotFmt>
      <c:pivotFmt>
        <c:idx val="2"/>
        <c:spPr>
          <a:solidFill>
            <a:srgbClr val="0339A6"/>
          </a:solidFill>
          <a:ln>
            <a:noFill/>
          </a:ln>
          <a:effectLst/>
        </c:spPr>
      </c:pivotFmt>
      <c:pivotFmt>
        <c:idx val="3"/>
        <c:spPr>
          <a:solidFill>
            <a:srgbClr val="0468BF"/>
          </a:solidFill>
          <a:ln>
            <a:noFill/>
          </a:ln>
          <a:effectLst/>
        </c:spPr>
      </c:pivotFmt>
      <c:pivotFmt>
        <c:idx val="4"/>
        <c:spPr>
          <a:solidFill>
            <a:srgbClr val="049DD9"/>
          </a:solidFill>
          <a:ln>
            <a:noFill/>
          </a:ln>
          <a:effectLst/>
        </c:spPr>
      </c:pivotFmt>
      <c:pivotFmt>
        <c:idx val="5"/>
        <c:spPr>
          <a:solidFill>
            <a:srgbClr val="04B2D9"/>
          </a:solidFill>
          <a:ln>
            <a:noFill/>
          </a:ln>
          <a:effectLst/>
        </c:spPr>
      </c:pivotFmt>
      <c:pivotFmt>
        <c:idx val="6"/>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1CA6"/>
          </a:solidFill>
          <a:ln>
            <a:noFill/>
          </a:ln>
          <a:effectLst/>
        </c:spPr>
      </c:pivotFmt>
      <c:pivotFmt>
        <c:idx val="8"/>
        <c:spPr>
          <a:solidFill>
            <a:srgbClr val="0339A6"/>
          </a:solidFill>
          <a:ln>
            <a:noFill/>
          </a:ln>
          <a:effectLst/>
        </c:spPr>
      </c:pivotFmt>
      <c:pivotFmt>
        <c:idx val="9"/>
        <c:spPr>
          <a:solidFill>
            <a:srgbClr val="0468BF"/>
          </a:solidFill>
          <a:ln>
            <a:noFill/>
          </a:ln>
          <a:effectLst/>
        </c:spPr>
      </c:pivotFmt>
      <c:pivotFmt>
        <c:idx val="10"/>
        <c:spPr>
          <a:solidFill>
            <a:srgbClr val="049DD9"/>
          </a:solidFill>
          <a:ln>
            <a:noFill/>
          </a:ln>
          <a:effectLst/>
        </c:spPr>
      </c:pivotFmt>
      <c:pivotFmt>
        <c:idx val="11"/>
        <c:spPr>
          <a:solidFill>
            <a:srgbClr val="04B2D9"/>
          </a:solidFill>
          <a:ln>
            <a:noFill/>
          </a:ln>
          <a:effectLst/>
        </c:spPr>
      </c:pivotFmt>
      <c:pivotFmt>
        <c:idx val="12"/>
        <c:spPr>
          <a:solidFill>
            <a:srgbClr val="5A7E8C"/>
          </a:solidFill>
          <a:ln>
            <a:solidFill>
              <a:schemeClr val="bg1"/>
            </a:solidFill>
          </a:ln>
          <a:effectLst/>
        </c:spPr>
      </c:pivotFmt>
      <c:pivotFmt>
        <c:idx val="13"/>
        <c:spPr>
          <a:solidFill>
            <a:srgbClr val="7799A6"/>
          </a:solidFill>
          <a:ln>
            <a:solidFill>
              <a:schemeClr val="bg1"/>
            </a:solidFill>
          </a:ln>
          <a:effectLst/>
        </c:spPr>
      </c:pivotFmt>
      <c:pivotFmt>
        <c:idx val="14"/>
        <c:spPr>
          <a:solidFill>
            <a:srgbClr val="9FB6BF"/>
          </a:solidFill>
          <a:ln>
            <a:solidFill>
              <a:schemeClr val="bg1"/>
            </a:solidFill>
          </a:ln>
          <a:effectLst/>
        </c:spPr>
      </c:pivotFmt>
      <c:pivotFmt>
        <c:idx val="1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A7E8C"/>
          </a:solidFill>
          <a:ln>
            <a:solidFill>
              <a:schemeClr val="bg1"/>
            </a:solidFill>
          </a:ln>
          <a:effectLst/>
        </c:spPr>
      </c:pivotFmt>
      <c:pivotFmt>
        <c:idx val="17"/>
        <c:spPr>
          <a:solidFill>
            <a:srgbClr val="7799A6"/>
          </a:solidFill>
          <a:ln>
            <a:solidFill>
              <a:schemeClr val="bg1"/>
            </a:solidFill>
          </a:ln>
          <a:effectLst/>
        </c:spPr>
      </c:pivotFmt>
      <c:pivotFmt>
        <c:idx val="18"/>
        <c:spPr>
          <a:solidFill>
            <a:srgbClr val="9FB6BF"/>
          </a:solidFill>
          <a:ln>
            <a:solidFill>
              <a:schemeClr val="bg1"/>
            </a:solidFill>
          </a:ln>
          <a:effectLst/>
        </c:spPr>
      </c:pivotFmt>
      <c:pivotFmt>
        <c:idx val="19"/>
        <c:spPr>
          <a:solidFill>
            <a:srgbClr val="5A7E8C">
              <a:alpha val="95000"/>
            </a:srgbClr>
          </a:solidFill>
          <a:ln>
            <a:solidFill>
              <a:schemeClr val="bg1">
                <a:alpha val="98000"/>
              </a:schemeClr>
            </a:solidFill>
          </a:ln>
          <a:effectLst/>
        </c:spPr>
      </c:pivotFmt>
      <c:pivotFmt>
        <c:idx val="20"/>
        <c:spPr>
          <a:solidFill>
            <a:srgbClr val="7799A6">
              <a:alpha val="95000"/>
            </a:srgbClr>
          </a:solidFill>
          <a:ln>
            <a:solidFill>
              <a:schemeClr val="bg1">
                <a:alpha val="98000"/>
              </a:schemeClr>
            </a:solidFill>
          </a:ln>
          <a:effectLst/>
        </c:spPr>
      </c:pivotFmt>
      <c:pivotFmt>
        <c:idx val="21"/>
        <c:spPr>
          <a:solidFill>
            <a:srgbClr val="9FB6BF">
              <a:alpha val="95000"/>
            </a:srgbClr>
          </a:solidFill>
          <a:ln>
            <a:solidFill>
              <a:schemeClr val="bg1">
                <a:alpha val="98000"/>
              </a:schemeClr>
            </a:solidFill>
          </a:ln>
          <a:effectLst/>
        </c:spPr>
      </c:pivotFmt>
      <c:pivotFmt>
        <c:idx val="22"/>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A7E8C">
              <a:alpha val="95000"/>
            </a:srgbClr>
          </a:solidFill>
          <a:ln>
            <a:solidFill>
              <a:schemeClr val="bg1">
                <a:alpha val="98000"/>
              </a:schemeClr>
            </a:solidFill>
          </a:ln>
          <a:effectLst/>
        </c:spPr>
      </c:pivotFmt>
      <c:pivotFmt>
        <c:idx val="24"/>
        <c:spPr>
          <a:solidFill>
            <a:srgbClr val="7799A6">
              <a:alpha val="95000"/>
            </a:srgbClr>
          </a:solidFill>
          <a:ln>
            <a:solidFill>
              <a:schemeClr val="bg1">
                <a:alpha val="98000"/>
              </a:schemeClr>
            </a:solidFill>
          </a:ln>
          <a:effectLst/>
        </c:spPr>
      </c:pivotFmt>
      <c:pivotFmt>
        <c:idx val="25"/>
        <c:spPr>
          <a:solidFill>
            <a:srgbClr val="9FB6BF">
              <a:alpha val="95000"/>
            </a:srgbClr>
          </a:solidFill>
          <a:ln>
            <a:solidFill>
              <a:schemeClr val="bg1">
                <a:alpha val="98000"/>
              </a:schemeClr>
            </a:solidFill>
          </a:ln>
          <a:effectLst/>
        </c:spPr>
      </c:pivotFmt>
      <c:pivotFmt>
        <c:idx val="26"/>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A7E8C">
              <a:alpha val="95000"/>
            </a:srgbClr>
          </a:solidFill>
          <a:ln>
            <a:solidFill>
              <a:schemeClr val="bg1">
                <a:alpha val="98000"/>
              </a:schemeClr>
            </a:solidFill>
          </a:ln>
          <a:effectLst/>
        </c:spPr>
      </c:pivotFmt>
      <c:pivotFmt>
        <c:idx val="28"/>
        <c:spPr>
          <a:solidFill>
            <a:srgbClr val="7799A6">
              <a:alpha val="95000"/>
            </a:srgbClr>
          </a:solidFill>
          <a:ln>
            <a:solidFill>
              <a:schemeClr val="bg1">
                <a:alpha val="98000"/>
              </a:schemeClr>
            </a:solidFill>
          </a:ln>
          <a:effectLst/>
        </c:spPr>
      </c:pivotFmt>
      <c:pivotFmt>
        <c:idx val="29"/>
        <c:spPr>
          <a:solidFill>
            <a:srgbClr val="9FB6BF">
              <a:alpha val="95000"/>
            </a:srgbClr>
          </a:solidFill>
          <a:ln>
            <a:solidFill>
              <a:schemeClr val="bg1">
                <a:alpha val="98000"/>
              </a:schemeClr>
            </a:solidFill>
          </a:ln>
          <a:effectLst/>
        </c:spPr>
      </c:pivotFmt>
      <c:pivotFmt>
        <c:idx val="30"/>
        <c:spPr>
          <a:solidFill>
            <a:srgbClr val="5A7E8C">
              <a:alpha val="95000"/>
            </a:srgbClr>
          </a:solidFill>
          <a:ln>
            <a:solidFill>
              <a:schemeClr val="bg1">
                <a:alpha val="98000"/>
              </a:schemeClr>
            </a:solidFill>
          </a:ln>
          <a:effectLst/>
        </c:spPr>
      </c:pivotFmt>
      <c:pivotFmt>
        <c:idx val="31"/>
        <c:spPr>
          <a:solidFill>
            <a:srgbClr val="7799A6">
              <a:alpha val="95000"/>
            </a:srgbClr>
          </a:solidFill>
          <a:ln>
            <a:solidFill>
              <a:schemeClr val="bg1">
                <a:alpha val="98000"/>
              </a:schemeClr>
            </a:solidFill>
          </a:ln>
          <a:effectLst/>
        </c:spPr>
      </c:pivotFmt>
      <c:pivotFmt>
        <c:idx val="32"/>
        <c:spPr>
          <a:solidFill>
            <a:srgbClr val="9FB6BF">
              <a:alpha val="95000"/>
            </a:srgbClr>
          </a:solidFill>
          <a:ln>
            <a:solidFill>
              <a:schemeClr val="bg1">
                <a:alpha val="98000"/>
              </a:schemeClr>
            </a:solidFill>
          </a:ln>
          <a:effectLst/>
        </c:spPr>
      </c:pivotFmt>
      <c:pivotFmt>
        <c:idx val="33"/>
        <c:spPr>
          <a:solidFill>
            <a:srgbClr val="BFD1D9">
              <a:alpha val="95000"/>
            </a:srgbClr>
          </a:solidFill>
          <a:ln>
            <a:solidFill>
              <a:schemeClr val="bg1">
                <a:alpha val="98000"/>
              </a:schemeClr>
            </a:solidFill>
          </a:ln>
          <a:effectLst/>
        </c:spPr>
      </c:pivotFmt>
      <c:pivotFmt>
        <c:idx val="34"/>
        <c:spPr>
          <a:solidFill>
            <a:srgbClr val="EBF1F2">
              <a:alpha val="95000"/>
            </a:srgbClr>
          </a:solidFill>
          <a:ln>
            <a:solidFill>
              <a:schemeClr val="bg1">
                <a:alpha val="98000"/>
              </a:schemeClr>
            </a:solidFill>
          </a:ln>
          <a:effectLst/>
        </c:spPr>
      </c:pivotFmt>
      <c:pivotFmt>
        <c:idx val="3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A7E8C">
              <a:alpha val="95000"/>
            </a:srgbClr>
          </a:solidFill>
          <a:ln>
            <a:solidFill>
              <a:schemeClr val="bg1">
                <a:alpha val="98000"/>
              </a:schemeClr>
            </a:solidFill>
          </a:ln>
          <a:effectLst/>
        </c:spPr>
      </c:pivotFmt>
      <c:pivotFmt>
        <c:idx val="37"/>
        <c:spPr>
          <a:solidFill>
            <a:srgbClr val="7799A6">
              <a:alpha val="95000"/>
            </a:srgbClr>
          </a:solidFill>
          <a:ln>
            <a:solidFill>
              <a:schemeClr val="bg1">
                <a:alpha val="98000"/>
              </a:schemeClr>
            </a:solidFill>
          </a:ln>
          <a:effectLst/>
        </c:spPr>
      </c:pivotFmt>
      <c:pivotFmt>
        <c:idx val="38"/>
        <c:spPr>
          <a:solidFill>
            <a:srgbClr val="9FB6BF">
              <a:alpha val="95000"/>
            </a:srgbClr>
          </a:solidFill>
          <a:ln>
            <a:solidFill>
              <a:schemeClr val="bg1">
                <a:alpha val="98000"/>
              </a:schemeClr>
            </a:solidFill>
          </a:ln>
          <a:effectLst/>
        </c:spPr>
      </c:pivotFmt>
      <c:pivotFmt>
        <c:idx val="39"/>
        <c:spPr>
          <a:solidFill>
            <a:srgbClr val="BFD1D9">
              <a:alpha val="95000"/>
            </a:srgbClr>
          </a:solidFill>
          <a:ln>
            <a:solidFill>
              <a:schemeClr val="bg1">
                <a:alpha val="98000"/>
              </a:schemeClr>
            </a:solidFill>
          </a:ln>
          <a:effectLst/>
        </c:spPr>
      </c:pivotFmt>
      <c:pivotFmt>
        <c:idx val="40"/>
        <c:spPr>
          <a:solidFill>
            <a:srgbClr val="EBF1F2">
              <a:alpha val="95000"/>
            </a:srgbClr>
          </a:solidFill>
          <a:ln>
            <a:solidFill>
              <a:schemeClr val="bg1">
                <a:alpha val="98000"/>
              </a:schemeClr>
            </a:solidFill>
          </a:ln>
          <a:effectLst/>
        </c:spPr>
      </c:pivotFmt>
      <c:pivotFmt>
        <c:idx val="41"/>
        <c:spPr>
          <a:solidFill>
            <a:srgbClr val="5A7E8C">
              <a:alpha val="95000"/>
            </a:srgbClr>
          </a:solidFill>
          <a:ln>
            <a:solidFill>
              <a:schemeClr val="bg1">
                <a:alpha val="98000"/>
              </a:schemeClr>
            </a:solidFill>
          </a:ln>
          <a:effectLst/>
        </c:spPr>
      </c:pivotFmt>
      <c:pivotFmt>
        <c:idx val="42"/>
        <c:spPr>
          <a:solidFill>
            <a:srgbClr val="7799A6">
              <a:alpha val="95000"/>
            </a:srgbClr>
          </a:solidFill>
          <a:ln>
            <a:solidFill>
              <a:schemeClr val="bg1">
                <a:alpha val="98000"/>
              </a:schemeClr>
            </a:solidFill>
          </a:ln>
          <a:effectLst/>
        </c:spPr>
      </c:pivotFmt>
      <c:pivotFmt>
        <c:idx val="43"/>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7799A6">
              <a:alpha val="95000"/>
            </a:srgbClr>
          </a:solidFill>
          <a:ln>
            <a:solidFill>
              <a:schemeClr val="bg1">
                <a:alpha val="98000"/>
              </a:schemeClr>
            </a:solidFill>
          </a:ln>
          <a:effectLst/>
        </c:spPr>
      </c:pivotFmt>
      <c:pivotFmt>
        <c:idx val="45"/>
        <c:spPr>
          <a:solidFill>
            <a:srgbClr val="5A7E8C">
              <a:alpha val="95000"/>
            </a:srgbClr>
          </a:solidFill>
          <a:ln>
            <a:solidFill>
              <a:schemeClr val="bg1">
                <a:alpha val="98000"/>
              </a:schemeClr>
            </a:solidFill>
          </a:ln>
          <a:effectLst/>
        </c:spPr>
      </c:pivotFmt>
      <c:pivotFmt>
        <c:idx val="46"/>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7799A6">
              <a:alpha val="95000"/>
            </a:srgbClr>
          </a:solidFill>
          <a:ln>
            <a:solidFill>
              <a:schemeClr val="bg1">
                <a:alpha val="98000"/>
              </a:schemeClr>
            </a:solidFill>
          </a:ln>
          <a:effectLst/>
        </c:spPr>
      </c:pivotFmt>
      <c:pivotFmt>
        <c:idx val="48"/>
        <c:spPr>
          <a:solidFill>
            <a:srgbClr val="5A7E8C">
              <a:alpha val="95000"/>
            </a:srgbClr>
          </a:solidFill>
          <a:ln>
            <a:solidFill>
              <a:schemeClr val="bg1">
                <a:alpha val="98000"/>
              </a:schemeClr>
            </a:solidFill>
          </a:ln>
          <a:effectLst/>
        </c:spPr>
      </c:pivotFmt>
    </c:pivotFmts>
    <c:plotArea>
      <c:layout/>
      <c:pieChart>
        <c:varyColors val="1"/>
        <c:ser>
          <c:idx val="0"/>
          <c:order val="0"/>
          <c:tx>
            <c:strRef>
              <c:f>'Monthly Sales'!$B$3</c:f>
              <c:strCache>
                <c:ptCount val="1"/>
                <c:pt idx="0">
                  <c:v>Total</c:v>
                </c:pt>
              </c:strCache>
            </c:strRef>
          </c:tx>
          <c:spPr>
            <a:solidFill>
              <a:srgbClr val="9FD6FF">
                <a:alpha val="95000"/>
              </a:srgbClr>
            </a:solidFill>
            <a:ln>
              <a:solidFill>
                <a:schemeClr val="bg1">
                  <a:alpha val="98000"/>
                </a:schemeClr>
              </a:solidFill>
            </a:ln>
          </c:spPr>
          <c:dPt>
            <c:idx val="0"/>
            <c:bubble3D val="0"/>
            <c:spPr>
              <a:solidFill>
                <a:srgbClr val="7799A6">
                  <a:alpha val="95000"/>
                </a:srgbClr>
              </a:solidFill>
              <a:ln>
                <a:solidFill>
                  <a:schemeClr val="bg1">
                    <a:alpha val="98000"/>
                  </a:schemeClr>
                </a:solidFill>
              </a:ln>
              <a:effectLst/>
            </c:spPr>
            <c:extLst>
              <c:ext xmlns:c16="http://schemas.microsoft.com/office/drawing/2014/chart" uri="{C3380CC4-5D6E-409C-BE32-E72D297353CC}">
                <c16:uniqueId val="{00000001-DE09-4393-B57F-03B014F74008}"/>
              </c:ext>
            </c:extLst>
          </c:dPt>
          <c:dPt>
            <c:idx val="1"/>
            <c:bubble3D val="0"/>
            <c:spPr>
              <a:solidFill>
                <a:srgbClr val="5A7E8C">
                  <a:alpha val="95000"/>
                </a:srgbClr>
              </a:solidFill>
              <a:ln>
                <a:solidFill>
                  <a:schemeClr val="bg1">
                    <a:alpha val="98000"/>
                  </a:schemeClr>
                </a:solidFill>
              </a:ln>
              <a:effectLst/>
            </c:spPr>
            <c:extLst>
              <c:ext xmlns:c16="http://schemas.microsoft.com/office/drawing/2014/chart" uri="{C3380CC4-5D6E-409C-BE32-E72D297353CC}">
                <c16:uniqueId val="{00000003-DE09-4393-B57F-03B014F74008}"/>
              </c:ext>
            </c:extLst>
          </c:dPt>
          <c:dPt>
            <c:idx val="2"/>
            <c:bubble3D val="0"/>
            <c:spPr>
              <a:solidFill>
                <a:srgbClr val="9FD6FF">
                  <a:alpha val="95000"/>
                </a:srgbClr>
              </a:solidFill>
              <a:ln>
                <a:solidFill>
                  <a:schemeClr val="bg1">
                    <a:alpha val="98000"/>
                  </a:schemeClr>
                </a:solidFill>
              </a:ln>
              <a:effectLst/>
            </c:spPr>
            <c:extLst>
              <c:ext xmlns:c16="http://schemas.microsoft.com/office/drawing/2014/chart" uri="{C3380CC4-5D6E-409C-BE32-E72D297353CC}">
                <c16:uniqueId val="{00000005-DE09-4393-B57F-03B014F74008}"/>
              </c:ext>
            </c:extLst>
          </c:dPt>
          <c:dPt>
            <c:idx val="3"/>
            <c:bubble3D val="0"/>
            <c:spPr>
              <a:solidFill>
                <a:srgbClr val="9FD6FF">
                  <a:alpha val="95000"/>
                </a:srgbClr>
              </a:solidFill>
              <a:ln>
                <a:solidFill>
                  <a:schemeClr val="bg1">
                    <a:alpha val="98000"/>
                  </a:schemeClr>
                </a:solidFill>
              </a:ln>
              <a:effectLst/>
            </c:spPr>
            <c:extLst>
              <c:ext xmlns:c16="http://schemas.microsoft.com/office/drawing/2014/chart" uri="{C3380CC4-5D6E-409C-BE32-E72D297353CC}">
                <c16:uniqueId val="{00000007-DE09-4393-B57F-03B014F74008}"/>
              </c:ext>
            </c:extLst>
          </c:dPt>
          <c:dPt>
            <c:idx val="4"/>
            <c:bubble3D val="0"/>
            <c:spPr>
              <a:solidFill>
                <a:srgbClr val="9FD6FF">
                  <a:alpha val="95000"/>
                </a:srgbClr>
              </a:solidFill>
              <a:ln>
                <a:solidFill>
                  <a:schemeClr val="bg1">
                    <a:alpha val="98000"/>
                  </a:schemeClr>
                </a:solidFill>
              </a:ln>
              <a:effectLst/>
            </c:spPr>
            <c:extLst>
              <c:ext xmlns:c16="http://schemas.microsoft.com/office/drawing/2014/chart" uri="{C3380CC4-5D6E-409C-BE32-E72D297353CC}">
                <c16:uniqueId val="{00000009-DE09-4393-B57F-03B014F74008}"/>
              </c:ext>
            </c:extLst>
          </c:dPt>
          <c:dLbls>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'Monthly Sales'!$A$4:$A$6</c:f>
              <c:strCache>
                <c:ptCount val="2"/>
                <c:pt idx="0">
                  <c:v>Nov</c:v>
                </c:pt>
                <c:pt idx="1">
                  <c:v>Dec</c:v>
                </c:pt>
              </c:strCache>
            </c:strRef>
          </c:cat>
          <c:val>
            <c:numRef>
              <c:f>'Monthly Sales'!$B$4:$B$6</c:f>
              <c:numCache>
                <c:formatCode>0.00%</c:formatCode>
                <c:ptCount val="2"/>
                <c:pt idx="0">
                  <c:v>0.43158910167916675</c:v>
                </c:pt>
                <c:pt idx="1">
                  <c:v>0.56841089832083336</c:v>
                </c:pt>
              </c:numCache>
            </c:numRef>
          </c:val>
          <c:extLst>
            <c:ext xmlns:c16="http://schemas.microsoft.com/office/drawing/2014/chart" uri="{C3380CC4-5D6E-409C-BE32-E72D297353CC}">
              <c16:uniqueId val="{0000000A-DE09-4393-B57F-03B014F7400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8F9"/>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Updated.xlsx]Performance by City!PivotTable1</c:name>
    <c:fmtId val="10"/>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Performance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1CA6"/>
          </a:solidFill>
          <a:ln>
            <a:noFill/>
          </a:ln>
          <a:effectLst/>
        </c:spPr>
      </c:pivotFmt>
      <c:pivotFmt>
        <c:idx val="2"/>
        <c:spPr>
          <a:solidFill>
            <a:srgbClr val="0339A6"/>
          </a:solidFill>
          <a:ln>
            <a:noFill/>
          </a:ln>
          <a:effectLst/>
        </c:spPr>
      </c:pivotFmt>
      <c:pivotFmt>
        <c:idx val="3"/>
        <c:spPr>
          <a:solidFill>
            <a:srgbClr val="0468BF"/>
          </a:solidFill>
          <a:ln>
            <a:noFill/>
          </a:ln>
          <a:effectLst/>
        </c:spPr>
      </c:pivotFmt>
      <c:pivotFmt>
        <c:idx val="4"/>
        <c:spPr>
          <a:solidFill>
            <a:srgbClr val="049DD9"/>
          </a:solidFill>
          <a:ln>
            <a:noFill/>
          </a:ln>
          <a:effectLst/>
        </c:spPr>
      </c:pivotFmt>
      <c:pivotFmt>
        <c:idx val="5"/>
        <c:spPr>
          <a:solidFill>
            <a:srgbClr val="04B2D9"/>
          </a:solidFill>
          <a:ln>
            <a:noFill/>
          </a:ln>
          <a:effectLst/>
        </c:spPr>
      </c:pivotFmt>
      <c:pivotFmt>
        <c:idx val="6"/>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1CA6"/>
          </a:solidFill>
          <a:ln>
            <a:noFill/>
          </a:ln>
          <a:effectLst/>
        </c:spPr>
      </c:pivotFmt>
      <c:pivotFmt>
        <c:idx val="8"/>
        <c:spPr>
          <a:solidFill>
            <a:srgbClr val="0339A6"/>
          </a:solidFill>
          <a:ln>
            <a:noFill/>
          </a:ln>
          <a:effectLst/>
        </c:spPr>
      </c:pivotFmt>
      <c:pivotFmt>
        <c:idx val="9"/>
        <c:spPr>
          <a:solidFill>
            <a:srgbClr val="0468BF"/>
          </a:solidFill>
          <a:ln>
            <a:noFill/>
          </a:ln>
          <a:effectLst/>
        </c:spPr>
      </c:pivotFmt>
      <c:pivotFmt>
        <c:idx val="10"/>
        <c:spPr>
          <a:solidFill>
            <a:srgbClr val="049DD9"/>
          </a:solidFill>
          <a:ln>
            <a:noFill/>
          </a:ln>
          <a:effectLst/>
        </c:spPr>
      </c:pivotFmt>
      <c:pivotFmt>
        <c:idx val="11"/>
        <c:spPr>
          <a:solidFill>
            <a:srgbClr val="04B2D9"/>
          </a:solidFill>
          <a:ln>
            <a:noFill/>
          </a:ln>
          <a:effectLst/>
        </c:spPr>
      </c:pivotFmt>
      <c:pivotFmt>
        <c:idx val="12"/>
        <c:spPr>
          <a:solidFill>
            <a:srgbClr val="5A7E8C"/>
          </a:solidFill>
          <a:ln>
            <a:solidFill>
              <a:schemeClr val="bg1"/>
            </a:solidFill>
          </a:ln>
          <a:effectLst/>
        </c:spPr>
      </c:pivotFmt>
      <c:pivotFmt>
        <c:idx val="13"/>
        <c:spPr>
          <a:solidFill>
            <a:srgbClr val="7799A6"/>
          </a:solidFill>
          <a:ln>
            <a:solidFill>
              <a:schemeClr val="bg1"/>
            </a:solidFill>
          </a:ln>
          <a:effectLst/>
        </c:spPr>
      </c:pivotFmt>
      <c:pivotFmt>
        <c:idx val="14"/>
        <c:spPr>
          <a:solidFill>
            <a:srgbClr val="9FB6BF"/>
          </a:solidFill>
          <a:ln>
            <a:solidFill>
              <a:schemeClr val="bg1"/>
            </a:solidFill>
          </a:ln>
          <a:effectLst/>
        </c:spPr>
      </c:pivotFmt>
      <c:pivotFmt>
        <c:idx val="1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A7E8C"/>
          </a:solidFill>
          <a:ln>
            <a:solidFill>
              <a:schemeClr val="bg1"/>
            </a:solidFill>
          </a:ln>
          <a:effectLst/>
        </c:spPr>
      </c:pivotFmt>
      <c:pivotFmt>
        <c:idx val="17"/>
        <c:spPr>
          <a:solidFill>
            <a:srgbClr val="7799A6"/>
          </a:solidFill>
          <a:ln>
            <a:solidFill>
              <a:schemeClr val="bg1"/>
            </a:solidFill>
          </a:ln>
          <a:effectLst/>
        </c:spPr>
      </c:pivotFmt>
      <c:pivotFmt>
        <c:idx val="18"/>
        <c:spPr>
          <a:solidFill>
            <a:srgbClr val="9FB6BF"/>
          </a:solidFill>
          <a:ln>
            <a:solidFill>
              <a:schemeClr val="bg1"/>
            </a:solidFill>
          </a:ln>
          <a:effectLst/>
        </c:spPr>
      </c:pivotFmt>
      <c:pivotFmt>
        <c:idx val="19"/>
        <c:spPr>
          <a:solidFill>
            <a:srgbClr val="5A7E8C">
              <a:alpha val="95000"/>
            </a:srgbClr>
          </a:solidFill>
          <a:ln>
            <a:solidFill>
              <a:schemeClr val="bg1">
                <a:alpha val="98000"/>
              </a:schemeClr>
            </a:solidFill>
          </a:ln>
          <a:effectLst/>
        </c:spPr>
      </c:pivotFmt>
      <c:pivotFmt>
        <c:idx val="20"/>
        <c:spPr>
          <a:solidFill>
            <a:srgbClr val="7799A6">
              <a:alpha val="95000"/>
            </a:srgbClr>
          </a:solidFill>
          <a:ln>
            <a:solidFill>
              <a:schemeClr val="bg1">
                <a:alpha val="98000"/>
              </a:schemeClr>
            </a:solidFill>
          </a:ln>
          <a:effectLst/>
        </c:spPr>
      </c:pivotFmt>
      <c:pivotFmt>
        <c:idx val="21"/>
        <c:spPr>
          <a:solidFill>
            <a:srgbClr val="9FB6BF">
              <a:alpha val="95000"/>
            </a:srgbClr>
          </a:solidFill>
          <a:ln>
            <a:solidFill>
              <a:schemeClr val="bg1">
                <a:alpha val="98000"/>
              </a:schemeClr>
            </a:solidFill>
          </a:ln>
          <a:effectLst/>
        </c:spPr>
      </c:pivotFmt>
      <c:pivotFmt>
        <c:idx val="22"/>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A7E8C">
              <a:alpha val="95000"/>
            </a:srgbClr>
          </a:solidFill>
          <a:ln>
            <a:solidFill>
              <a:schemeClr val="bg1">
                <a:alpha val="98000"/>
              </a:schemeClr>
            </a:solidFill>
          </a:ln>
          <a:effectLst/>
        </c:spPr>
      </c:pivotFmt>
      <c:pivotFmt>
        <c:idx val="24"/>
        <c:spPr>
          <a:solidFill>
            <a:srgbClr val="7799A6">
              <a:alpha val="95000"/>
            </a:srgbClr>
          </a:solidFill>
          <a:ln>
            <a:solidFill>
              <a:schemeClr val="bg1">
                <a:alpha val="98000"/>
              </a:schemeClr>
            </a:solidFill>
          </a:ln>
          <a:effectLst/>
        </c:spPr>
      </c:pivotFmt>
      <c:pivotFmt>
        <c:idx val="25"/>
        <c:spPr>
          <a:solidFill>
            <a:srgbClr val="9FB6BF">
              <a:alpha val="95000"/>
            </a:srgbClr>
          </a:solidFill>
          <a:ln>
            <a:solidFill>
              <a:schemeClr val="bg1">
                <a:alpha val="98000"/>
              </a:schemeClr>
            </a:solidFill>
          </a:ln>
          <a:effectLst/>
        </c:spPr>
      </c:pivotFmt>
      <c:pivotFmt>
        <c:idx val="26"/>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A7E8C">
              <a:alpha val="95000"/>
            </a:srgbClr>
          </a:solidFill>
          <a:ln>
            <a:solidFill>
              <a:schemeClr val="bg1">
                <a:alpha val="98000"/>
              </a:schemeClr>
            </a:solidFill>
          </a:ln>
          <a:effectLst/>
        </c:spPr>
      </c:pivotFmt>
      <c:pivotFmt>
        <c:idx val="28"/>
        <c:spPr>
          <a:solidFill>
            <a:srgbClr val="7799A6">
              <a:alpha val="95000"/>
            </a:srgbClr>
          </a:solidFill>
          <a:ln>
            <a:solidFill>
              <a:schemeClr val="bg1">
                <a:alpha val="98000"/>
              </a:schemeClr>
            </a:solidFill>
          </a:ln>
          <a:effectLst/>
        </c:spPr>
      </c:pivotFmt>
      <c:pivotFmt>
        <c:idx val="29"/>
        <c:spPr>
          <a:solidFill>
            <a:srgbClr val="9FB6BF">
              <a:alpha val="95000"/>
            </a:srgbClr>
          </a:solidFill>
          <a:ln>
            <a:solidFill>
              <a:schemeClr val="bg1">
                <a:alpha val="98000"/>
              </a:schemeClr>
            </a:solidFill>
          </a:ln>
          <a:effectLst/>
        </c:spPr>
      </c:pivotFmt>
      <c:pivotFmt>
        <c:idx val="30"/>
        <c:spPr>
          <a:solidFill>
            <a:srgbClr val="5A7E8C">
              <a:alpha val="95000"/>
            </a:srgbClr>
          </a:solidFill>
          <a:ln>
            <a:solidFill>
              <a:schemeClr val="bg1">
                <a:alpha val="98000"/>
              </a:schemeClr>
            </a:solidFill>
          </a:ln>
          <a:effectLst/>
        </c:spPr>
      </c:pivotFmt>
      <c:pivotFmt>
        <c:idx val="31"/>
        <c:spPr>
          <a:solidFill>
            <a:srgbClr val="7799A6">
              <a:alpha val="95000"/>
            </a:srgbClr>
          </a:solidFill>
          <a:ln>
            <a:solidFill>
              <a:schemeClr val="bg1">
                <a:alpha val="98000"/>
              </a:schemeClr>
            </a:solidFill>
          </a:ln>
          <a:effectLst/>
        </c:spPr>
      </c:pivotFmt>
      <c:pivotFmt>
        <c:idx val="32"/>
        <c:spPr>
          <a:solidFill>
            <a:srgbClr val="9FB6BF">
              <a:alpha val="95000"/>
            </a:srgbClr>
          </a:solidFill>
          <a:ln>
            <a:solidFill>
              <a:schemeClr val="bg1">
                <a:alpha val="98000"/>
              </a:schemeClr>
            </a:solidFill>
          </a:ln>
          <a:effectLst/>
        </c:spPr>
      </c:pivotFmt>
      <c:pivotFmt>
        <c:idx val="33"/>
        <c:spPr>
          <a:solidFill>
            <a:srgbClr val="BFD1D9">
              <a:alpha val="95000"/>
            </a:srgbClr>
          </a:solidFill>
          <a:ln>
            <a:solidFill>
              <a:schemeClr val="bg1">
                <a:alpha val="98000"/>
              </a:schemeClr>
            </a:solidFill>
          </a:ln>
          <a:effectLst/>
        </c:spPr>
      </c:pivotFmt>
      <c:pivotFmt>
        <c:idx val="34"/>
        <c:spPr>
          <a:solidFill>
            <a:srgbClr val="EBF1F2">
              <a:alpha val="95000"/>
            </a:srgbClr>
          </a:solidFill>
          <a:ln>
            <a:solidFill>
              <a:schemeClr val="bg1">
                <a:alpha val="98000"/>
              </a:schemeClr>
            </a:solidFill>
          </a:ln>
          <a:effectLst/>
        </c:spPr>
      </c:pivotFmt>
      <c:pivotFmt>
        <c:idx val="3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5A7E8C">
              <a:alpha val="95000"/>
            </a:srgbClr>
          </a:solidFill>
          <a:ln>
            <a:solidFill>
              <a:schemeClr val="bg1">
                <a:alpha val="98000"/>
              </a:schemeClr>
            </a:solidFill>
          </a:ln>
          <a:effectLst/>
        </c:spPr>
      </c:pivotFmt>
      <c:pivotFmt>
        <c:idx val="37"/>
        <c:spPr>
          <a:solidFill>
            <a:srgbClr val="7799A6">
              <a:alpha val="95000"/>
            </a:srgbClr>
          </a:solidFill>
          <a:ln>
            <a:solidFill>
              <a:schemeClr val="bg1">
                <a:alpha val="98000"/>
              </a:schemeClr>
            </a:solidFill>
          </a:ln>
          <a:effectLst/>
        </c:spPr>
      </c:pivotFmt>
      <c:pivotFmt>
        <c:idx val="38"/>
        <c:spPr>
          <a:solidFill>
            <a:srgbClr val="9FB6BF">
              <a:alpha val="95000"/>
            </a:srgbClr>
          </a:solidFill>
          <a:ln>
            <a:solidFill>
              <a:schemeClr val="bg1">
                <a:alpha val="98000"/>
              </a:schemeClr>
            </a:solidFill>
          </a:ln>
          <a:effectLst/>
        </c:spPr>
      </c:pivotFmt>
      <c:pivotFmt>
        <c:idx val="39"/>
        <c:spPr>
          <a:solidFill>
            <a:srgbClr val="BFD1D9">
              <a:alpha val="95000"/>
            </a:srgbClr>
          </a:solidFill>
          <a:ln>
            <a:solidFill>
              <a:schemeClr val="bg1">
                <a:alpha val="98000"/>
              </a:schemeClr>
            </a:solidFill>
          </a:ln>
          <a:effectLst/>
        </c:spPr>
      </c:pivotFmt>
      <c:pivotFmt>
        <c:idx val="40"/>
        <c:spPr>
          <a:solidFill>
            <a:srgbClr val="EBF1F2">
              <a:alpha val="95000"/>
            </a:srgbClr>
          </a:solidFill>
          <a:ln>
            <a:solidFill>
              <a:schemeClr val="bg1">
                <a:alpha val="98000"/>
              </a:schemeClr>
            </a:solidFill>
          </a:ln>
          <a:effectLst/>
        </c:spPr>
      </c:pivotFmt>
      <c:pivotFmt>
        <c:idx val="41"/>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5A7E8C">
              <a:alpha val="95000"/>
            </a:srgbClr>
          </a:solidFill>
          <a:ln>
            <a:solidFill>
              <a:schemeClr val="bg1">
                <a:alpha val="98000"/>
              </a:schemeClr>
            </a:solidFill>
          </a:ln>
          <a:effectLst/>
        </c:spPr>
      </c:pivotFmt>
      <c:pivotFmt>
        <c:idx val="43"/>
        <c:spPr>
          <a:solidFill>
            <a:srgbClr val="7799A6">
              <a:alpha val="95000"/>
            </a:srgbClr>
          </a:solidFill>
          <a:ln>
            <a:solidFill>
              <a:schemeClr val="bg1">
                <a:alpha val="98000"/>
              </a:schemeClr>
            </a:solidFill>
          </a:ln>
          <a:effectLst/>
        </c:spPr>
      </c:pivotFmt>
      <c:pivotFmt>
        <c:idx val="44"/>
        <c:spPr>
          <a:solidFill>
            <a:srgbClr val="9FB6BF">
              <a:alpha val="95000"/>
            </a:srgbClr>
          </a:solidFill>
          <a:ln>
            <a:solidFill>
              <a:schemeClr val="bg1">
                <a:alpha val="98000"/>
              </a:schemeClr>
            </a:solidFill>
          </a:ln>
          <a:effectLst/>
        </c:spPr>
      </c:pivotFmt>
      <c:pivotFmt>
        <c:idx val="45"/>
        <c:spPr>
          <a:solidFill>
            <a:srgbClr val="BFD1D9">
              <a:alpha val="95000"/>
            </a:srgbClr>
          </a:solidFill>
          <a:ln>
            <a:solidFill>
              <a:schemeClr val="bg1">
                <a:alpha val="98000"/>
              </a:schemeClr>
            </a:solidFill>
          </a:ln>
          <a:effectLst/>
        </c:spPr>
      </c:pivotFmt>
      <c:pivotFmt>
        <c:idx val="46"/>
        <c:spPr>
          <a:solidFill>
            <a:srgbClr val="EBF1F2">
              <a:alpha val="95000"/>
            </a:srgbClr>
          </a:solidFill>
          <a:ln>
            <a:solidFill>
              <a:schemeClr val="bg1">
                <a:alpha val="98000"/>
              </a:schemeClr>
            </a:solidFill>
          </a:ln>
          <a:effectLst/>
        </c:spPr>
      </c:pivotFmt>
    </c:pivotFmts>
    <c:plotArea>
      <c:layout/>
      <c:barChart>
        <c:barDir val="bar"/>
        <c:grouping val="clustered"/>
        <c:varyColors val="0"/>
        <c:ser>
          <c:idx val="0"/>
          <c:order val="0"/>
          <c:tx>
            <c:strRef>
              <c:f>'Performance by City'!$B$3</c:f>
              <c:strCache>
                <c:ptCount val="1"/>
                <c:pt idx="0">
                  <c:v>Total</c:v>
                </c:pt>
              </c:strCache>
            </c:strRef>
          </c:tx>
          <c:spPr>
            <a:solidFill>
              <a:srgbClr val="9FD6FF">
                <a:alpha val="95000"/>
              </a:srgbClr>
            </a:solidFill>
            <a:ln>
              <a:solidFill>
                <a:schemeClr val="bg1">
                  <a:alpha val="98000"/>
                </a:schemeClr>
              </a:solidFill>
            </a:ln>
            <a:effectLst/>
          </c:spPr>
          <c:invertIfNegative val="0"/>
          <c:dPt>
            <c:idx val="0"/>
            <c:invertIfNegative val="0"/>
            <c:bubble3D val="0"/>
            <c:spPr>
              <a:solidFill>
                <a:srgbClr val="5A7E8C">
                  <a:alpha val="95000"/>
                </a:srgbClr>
              </a:solidFill>
              <a:ln>
                <a:solidFill>
                  <a:schemeClr val="bg1">
                    <a:alpha val="98000"/>
                  </a:schemeClr>
                </a:solidFill>
              </a:ln>
              <a:effectLst/>
            </c:spPr>
            <c:extLst>
              <c:ext xmlns:c16="http://schemas.microsoft.com/office/drawing/2014/chart" uri="{C3380CC4-5D6E-409C-BE32-E72D297353CC}">
                <c16:uniqueId val="{00000001-4EF1-4001-9CEA-F5A1417AC974}"/>
              </c:ext>
            </c:extLst>
          </c:dPt>
          <c:dPt>
            <c:idx val="1"/>
            <c:invertIfNegative val="0"/>
            <c:bubble3D val="0"/>
            <c:spPr>
              <a:solidFill>
                <a:srgbClr val="7799A6">
                  <a:alpha val="95000"/>
                </a:srgbClr>
              </a:solidFill>
              <a:ln>
                <a:solidFill>
                  <a:schemeClr val="bg1">
                    <a:alpha val="98000"/>
                  </a:schemeClr>
                </a:solidFill>
              </a:ln>
              <a:effectLst/>
            </c:spPr>
            <c:extLst>
              <c:ext xmlns:c16="http://schemas.microsoft.com/office/drawing/2014/chart" uri="{C3380CC4-5D6E-409C-BE32-E72D297353CC}">
                <c16:uniqueId val="{00000003-4EF1-4001-9CEA-F5A1417AC974}"/>
              </c:ext>
            </c:extLst>
          </c:dPt>
          <c:dPt>
            <c:idx val="2"/>
            <c:invertIfNegative val="0"/>
            <c:bubble3D val="0"/>
            <c:spPr>
              <a:solidFill>
                <a:srgbClr val="9FB6BF">
                  <a:alpha val="95000"/>
                </a:srgbClr>
              </a:solidFill>
              <a:ln>
                <a:solidFill>
                  <a:schemeClr val="bg1">
                    <a:alpha val="98000"/>
                  </a:schemeClr>
                </a:solidFill>
              </a:ln>
              <a:effectLst/>
            </c:spPr>
            <c:extLst>
              <c:ext xmlns:c16="http://schemas.microsoft.com/office/drawing/2014/chart" uri="{C3380CC4-5D6E-409C-BE32-E72D297353CC}">
                <c16:uniqueId val="{00000005-4EF1-4001-9CEA-F5A1417AC974}"/>
              </c:ext>
            </c:extLst>
          </c:dPt>
          <c:dPt>
            <c:idx val="3"/>
            <c:invertIfNegative val="0"/>
            <c:bubble3D val="0"/>
            <c:spPr>
              <a:solidFill>
                <a:srgbClr val="BFD1D9">
                  <a:alpha val="95000"/>
                </a:srgbClr>
              </a:solidFill>
              <a:ln>
                <a:solidFill>
                  <a:schemeClr val="bg1">
                    <a:alpha val="98000"/>
                  </a:schemeClr>
                </a:solidFill>
              </a:ln>
              <a:effectLst/>
            </c:spPr>
            <c:extLst>
              <c:ext xmlns:c16="http://schemas.microsoft.com/office/drawing/2014/chart" uri="{C3380CC4-5D6E-409C-BE32-E72D297353CC}">
                <c16:uniqueId val="{00000007-4EF1-4001-9CEA-F5A1417AC974}"/>
              </c:ext>
            </c:extLst>
          </c:dPt>
          <c:dPt>
            <c:idx val="4"/>
            <c:invertIfNegative val="0"/>
            <c:bubble3D val="0"/>
            <c:spPr>
              <a:solidFill>
                <a:srgbClr val="EBF1F2">
                  <a:alpha val="95000"/>
                </a:srgbClr>
              </a:solidFill>
              <a:ln>
                <a:solidFill>
                  <a:schemeClr val="bg1">
                    <a:alpha val="98000"/>
                  </a:schemeClr>
                </a:solidFill>
              </a:ln>
              <a:effectLst/>
            </c:spPr>
            <c:extLst>
              <c:ext xmlns:c16="http://schemas.microsoft.com/office/drawing/2014/chart" uri="{C3380CC4-5D6E-409C-BE32-E72D297353CC}">
                <c16:uniqueId val="{00000009-4EF1-4001-9CEA-F5A1417AC974}"/>
              </c:ext>
            </c:extLst>
          </c:dPt>
          <c:dLbls>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by City'!$A$4:$A$9</c:f>
              <c:strCache>
                <c:ptCount val="5"/>
                <c:pt idx="0">
                  <c:v>Lisbon</c:v>
                </c:pt>
                <c:pt idx="1">
                  <c:v>London</c:v>
                </c:pt>
                <c:pt idx="2">
                  <c:v>Madrid</c:v>
                </c:pt>
                <c:pt idx="3">
                  <c:v>Berlin</c:v>
                </c:pt>
                <c:pt idx="4">
                  <c:v>Paris</c:v>
                </c:pt>
              </c:strCache>
            </c:strRef>
          </c:cat>
          <c:val>
            <c:numRef>
              <c:f>'Performance by City'!$B$4:$B$9</c:f>
              <c:numCache>
                <c:formatCode>[$$-1009]#,##0.00</c:formatCode>
                <c:ptCount val="5"/>
                <c:pt idx="0">
                  <c:v>241714.11570000008</c:v>
                </c:pt>
                <c:pt idx="1">
                  <c:v>211201.04059999986</c:v>
                </c:pt>
                <c:pt idx="2">
                  <c:v>136200.26649999997</c:v>
                </c:pt>
                <c:pt idx="3">
                  <c:v>100600.13129999998</c:v>
                </c:pt>
                <c:pt idx="4">
                  <c:v>79800.305099999983</c:v>
                </c:pt>
              </c:numCache>
            </c:numRef>
          </c:val>
          <c:extLst>
            <c:ext xmlns:c16="http://schemas.microsoft.com/office/drawing/2014/chart" uri="{C3380CC4-5D6E-409C-BE32-E72D297353CC}">
              <c16:uniqueId val="{0000000A-4EF1-4001-9CEA-F5A1417AC974}"/>
            </c:ext>
          </c:extLst>
        </c:ser>
        <c:dLbls>
          <c:showLegendKey val="0"/>
          <c:showVal val="0"/>
          <c:showCatName val="0"/>
          <c:showSerName val="0"/>
          <c:showPercent val="0"/>
          <c:showBubbleSize val="0"/>
        </c:dLbls>
        <c:gapWidth val="20"/>
        <c:axId val="2038585679"/>
        <c:axId val="2038582319"/>
      </c:barChart>
      <c:catAx>
        <c:axId val="203858567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crossAx val="2038582319"/>
        <c:crosses val="autoZero"/>
        <c:auto val="1"/>
        <c:lblAlgn val="ctr"/>
        <c:lblOffset val="100"/>
        <c:noMultiLvlLbl val="0"/>
      </c:catAx>
      <c:valAx>
        <c:axId val="2038582319"/>
        <c:scaling>
          <c:orientation val="minMax"/>
        </c:scaling>
        <c:delete val="1"/>
        <c:axPos val="t"/>
        <c:numFmt formatCode="[$$-1009]#,##0.00" sourceLinked="1"/>
        <c:majorTickMark val="out"/>
        <c:minorTickMark val="none"/>
        <c:tickLblPos val="nextTo"/>
        <c:crossAx val="203858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8F9"/>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Updated.xlsx]Performance by Manager!PivotTable1</c:name>
    <c:fmtId val="9"/>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Performance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1CA6"/>
          </a:solidFill>
          <a:ln>
            <a:noFill/>
          </a:ln>
          <a:effectLst/>
        </c:spPr>
      </c:pivotFmt>
      <c:pivotFmt>
        <c:idx val="2"/>
        <c:spPr>
          <a:solidFill>
            <a:srgbClr val="0339A6"/>
          </a:solidFill>
          <a:ln>
            <a:noFill/>
          </a:ln>
          <a:effectLst/>
        </c:spPr>
      </c:pivotFmt>
      <c:pivotFmt>
        <c:idx val="3"/>
        <c:spPr>
          <a:solidFill>
            <a:srgbClr val="0468BF"/>
          </a:solidFill>
          <a:ln>
            <a:noFill/>
          </a:ln>
          <a:effectLst/>
        </c:spPr>
      </c:pivotFmt>
      <c:pivotFmt>
        <c:idx val="4"/>
        <c:spPr>
          <a:solidFill>
            <a:srgbClr val="049DD9"/>
          </a:solidFill>
          <a:ln>
            <a:noFill/>
          </a:ln>
          <a:effectLst/>
        </c:spPr>
      </c:pivotFmt>
      <c:pivotFmt>
        <c:idx val="5"/>
        <c:spPr>
          <a:solidFill>
            <a:srgbClr val="04B2D9"/>
          </a:solidFill>
          <a:ln>
            <a:noFill/>
          </a:ln>
          <a:effectLst/>
        </c:spPr>
      </c:pivotFmt>
      <c:pivotFmt>
        <c:idx val="6"/>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1CA6"/>
          </a:solidFill>
          <a:ln>
            <a:noFill/>
          </a:ln>
          <a:effectLst/>
        </c:spPr>
      </c:pivotFmt>
      <c:pivotFmt>
        <c:idx val="8"/>
        <c:spPr>
          <a:solidFill>
            <a:srgbClr val="0339A6"/>
          </a:solidFill>
          <a:ln>
            <a:noFill/>
          </a:ln>
          <a:effectLst/>
        </c:spPr>
      </c:pivotFmt>
      <c:pivotFmt>
        <c:idx val="9"/>
        <c:spPr>
          <a:solidFill>
            <a:srgbClr val="0468BF"/>
          </a:solidFill>
          <a:ln>
            <a:noFill/>
          </a:ln>
          <a:effectLst/>
        </c:spPr>
      </c:pivotFmt>
      <c:pivotFmt>
        <c:idx val="10"/>
        <c:spPr>
          <a:solidFill>
            <a:srgbClr val="049DD9"/>
          </a:solidFill>
          <a:ln>
            <a:noFill/>
          </a:ln>
          <a:effectLst/>
        </c:spPr>
      </c:pivotFmt>
      <c:pivotFmt>
        <c:idx val="11"/>
        <c:spPr>
          <a:solidFill>
            <a:srgbClr val="04B2D9"/>
          </a:solidFill>
          <a:ln>
            <a:noFill/>
          </a:ln>
          <a:effectLst/>
        </c:spPr>
      </c:pivotFmt>
      <c:pivotFmt>
        <c:idx val="12"/>
        <c:spPr>
          <a:solidFill>
            <a:srgbClr val="5A7E8C"/>
          </a:solidFill>
          <a:ln>
            <a:solidFill>
              <a:schemeClr val="bg1"/>
            </a:solidFill>
          </a:ln>
          <a:effectLst/>
        </c:spPr>
      </c:pivotFmt>
      <c:pivotFmt>
        <c:idx val="13"/>
        <c:spPr>
          <a:solidFill>
            <a:srgbClr val="7799A6"/>
          </a:solidFill>
          <a:ln>
            <a:solidFill>
              <a:schemeClr val="bg1"/>
            </a:solidFill>
          </a:ln>
          <a:effectLst/>
        </c:spPr>
      </c:pivotFmt>
      <c:pivotFmt>
        <c:idx val="14"/>
        <c:spPr>
          <a:solidFill>
            <a:srgbClr val="9FB6BF"/>
          </a:solidFill>
          <a:ln>
            <a:solidFill>
              <a:schemeClr val="bg1"/>
            </a:solidFill>
          </a:ln>
          <a:effectLst/>
        </c:spPr>
      </c:pivotFmt>
      <c:pivotFmt>
        <c:idx val="1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A7E8C"/>
          </a:solidFill>
          <a:ln>
            <a:solidFill>
              <a:schemeClr val="bg1"/>
            </a:solidFill>
          </a:ln>
          <a:effectLst/>
        </c:spPr>
      </c:pivotFmt>
      <c:pivotFmt>
        <c:idx val="17"/>
        <c:spPr>
          <a:solidFill>
            <a:srgbClr val="7799A6"/>
          </a:solidFill>
          <a:ln>
            <a:solidFill>
              <a:schemeClr val="bg1"/>
            </a:solidFill>
          </a:ln>
          <a:effectLst/>
        </c:spPr>
      </c:pivotFmt>
      <c:pivotFmt>
        <c:idx val="18"/>
        <c:spPr>
          <a:solidFill>
            <a:srgbClr val="9FB6BF"/>
          </a:solidFill>
          <a:ln>
            <a:solidFill>
              <a:schemeClr val="bg1"/>
            </a:solidFill>
          </a:ln>
          <a:effectLst/>
        </c:spPr>
      </c:pivotFmt>
      <c:pivotFmt>
        <c:idx val="19"/>
        <c:spPr>
          <a:solidFill>
            <a:srgbClr val="5A7E8C">
              <a:alpha val="95000"/>
            </a:srgbClr>
          </a:solidFill>
          <a:ln>
            <a:solidFill>
              <a:schemeClr val="bg1">
                <a:alpha val="98000"/>
              </a:schemeClr>
            </a:solidFill>
          </a:ln>
          <a:effectLst/>
        </c:spPr>
      </c:pivotFmt>
      <c:pivotFmt>
        <c:idx val="20"/>
        <c:spPr>
          <a:solidFill>
            <a:srgbClr val="7799A6">
              <a:alpha val="95000"/>
            </a:srgbClr>
          </a:solidFill>
          <a:ln>
            <a:solidFill>
              <a:schemeClr val="bg1">
                <a:alpha val="98000"/>
              </a:schemeClr>
            </a:solidFill>
          </a:ln>
          <a:effectLst/>
        </c:spPr>
      </c:pivotFmt>
      <c:pivotFmt>
        <c:idx val="21"/>
        <c:spPr>
          <a:solidFill>
            <a:srgbClr val="9FB6BF">
              <a:alpha val="95000"/>
            </a:srgbClr>
          </a:solidFill>
          <a:ln>
            <a:solidFill>
              <a:schemeClr val="bg1">
                <a:alpha val="98000"/>
              </a:schemeClr>
            </a:solidFill>
          </a:ln>
          <a:effectLst/>
        </c:spPr>
      </c:pivotFmt>
      <c:pivotFmt>
        <c:idx val="22"/>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A7E8C">
              <a:alpha val="95000"/>
            </a:srgbClr>
          </a:solidFill>
          <a:ln>
            <a:solidFill>
              <a:schemeClr val="bg1">
                <a:alpha val="98000"/>
              </a:schemeClr>
            </a:solidFill>
          </a:ln>
          <a:effectLst/>
        </c:spPr>
      </c:pivotFmt>
      <c:pivotFmt>
        <c:idx val="24"/>
        <c:spPr>
          <a:solidFill>
            <a:srgbClr val="7799A6">
              <a:alpha val="95000"/>
            </a:srgbClr>
          </a:solidFill>
          <a:ln>
            <a:solidFill>
              <a:schemeClr val="bg1">
                <a:alpha val="98000"/>
              </a:schemeClr>
            </a:solidFill>
          </a:ln>
          <a:effectLst/>
        </c:spPr>
      </c:pivotFmt>
      <c:pivotFmt>
        <c:idx val="25"/>
        <c:spPr>
          <a:solidFill>
            <a:srgbClr val="9FB6BF">
              <a:alpha val="95000"/>
            </a:srgbClr>
          </a:solidFill>
          <a:ln>
            <a:solidFill>
              <a:schemeClr val="bg1">
                <a:alpha val="98000"/>
              </a:schemeClr>
            </a:solidFill>
          </a:ln>
          <a:effectLst/>
        </c:spPr>
      </c:pivotFmt>
      <c:pivotFmt>
        <c:idx val="26"/>
        <c:spPr>
          <a:solidFill>
            <a:srgbClr val="5A7E8C">
              <a:alpha val="95000"/>
            </a:srgbClr>
          </a:solidFill>
          <a:ln>
            <a:solidFill>
              <a:schemeClr val="bg1">
                <a:alpha val="98000"/>
              </a:schemeClr>
            </a:solidFill>
          </a:ln>
          <a:effectLst/>
        </c:spPr>
      </c:pivotFmt>
      <c:pivotFmt>
        <c:idx val="27"/>
        <c:spPr>
          <a:solidFill>
            <a:srgbClr val="7799A6">
              <a:alpha val="95000"/>
            </a:srgbClr>
          </a:solidFill>
          <a:ln>
            <a:solidFill>
              <a:schemeClr val="bg1">
                <a:alpha val="98000"/>
              </a:schemeClr>
            </a:solidFill>
          </a:ln>
          <a:effectLst/>
        </c:spPr>
      </c:pivotFmt>
      <c:pivotFmt>
        <c:idx val="28"/>
        <c:spPr>
          <a:solidFill>
            <a:srgbClr val="9FB6BF">
              <a:alpha val="95000"/>
            </a:srgbClr>
          </a:solidFill>
          <a:ln>
            <a:solidFill>
              <a:schemeClr val="bg1">
                <a:alpha val="98000"/>
              </a:schemeClr>
            </a:solidFill>
          </a:ln>
          <a:effectLst/>
        </c:spPr>
      </c:pivotFmt>
      <c:pivotFmt>
        <c:idx val="29"/>
        <c:spPr>
          <a:solidFill>
            <a:srgbClr val="BFD1D9">
              <a:alpha val="95000"/>
            </a:srgbClr>
          </a:solidFill>
          <a:ln>
            <a:solidFill>
              <a:schemeClr val="bg1">
                <a:alpha val="98000"/>
              </a:schemeClr>
            </a:solidFill>
          </a:ln>
          <a:effectLst/>
        </c:spPr>
      </c:pivotFmt>
      <c:pivotFmt>
        <c:idx val="30"/>
        <c:spPr>
          <a:solidFill>
            <a:srgbClr val="EBF1F2">
              <a:alpha val="95000"/>
            </a:srgbClr>
          </a:solidFill>
          <a:ln>
            <a:solidFill>
              <a:schemeClr val="bg1">
                <a:alpha val="98000"/>
              </a:schemeClr>
            </a:solidFill>
          </a:ln>
          <a:effectLst/>
        </c:spPr>
      </c:pivotFmt>
      <c:pivotFmt>
        <c:idx val="31"/>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5A7E8C">
              <a:alpha val="95000"/>
            </a:srgbClr>
          </a:solidFill>
          <a:ln>
            <a:solidFill>
              <a:schemeClr val="bg1">
                <a:alpha val="98000"/>
              </a:schemeClr>
            </a:solidFill>
          </a:ln>
          <a:effectLst/>
        </c:spPr>
      </c:pivotFmt>
      <c:pivotFmt>
        <c:idx val="33"/>
        <c:spPr>
          <a:solidFill>
            <a:srgbClr val="7799A6">
              <a:alpha val="95000"/>
            </a:srgbClr>
          </a:solidFill>
          <a:ln>
            <a:solidFill>
              <a:schemeClr val="bg1">
                <a:alpha val="98000"/>
              </a:schemeClr>
            </a:solidFill>
          </a:ln>
          <a:effectLst/>
        </c:spPr>
      </c:pivotFmt>
      <c:pivotFmt>
        <c:idx val="34"/>
        <c:spPr>
          <a:solidFill>
            <a:srgbClr val="9FB6BF">
              <a:alpha val="95000"/>
            </a:srgbClr>
          </a:solidFill>
          <a:ln>
            <a:solidFill>
              <a:schemeClr val="bg1">
                <a:alpha val="98000"/>
              </a:schemeClr>
            </a:solidFill>
          </a:ln>
          <a:effectLst/>
        </c:spPr>
      </c:pivotFmt>
      <c:pivotFmt>
        <c:idx val="35"/>
        <c:spPr>
          <a:solidFill>
            <a:srgbClr val="BFD1D9">
              <a:alpha val="95000"/>
            </a:srgbClr>
          </a:solidFill>
          <a:ln>
            <a:solidFill>
              <a:schemeClr val="bg1">
                <a:alpha val="98000"/>
              </a:schemeClr>
            </a:solidFill>
          </a:ln>
          <a:effectLst/>
        </c:spPr>
      </c:pivotFmt>
      <c:pivotFmt>
        <c:idx val="36"/>
        <c:spPr>
          <a:solidFill>
            <a:srgbClr val="EBF1F2">
              <a:alpha val="95000"/>
            </a:srgbClr>
          </a:solidFill>
          <a:ln>
            <a:solidFill>
              <a:schemeClr val="bg1">
                <a:alpha val="98000"/>
              </a:schemeClr>
            </a:solidFill>
          </a:ln>
          <a:effectLst/>
        </c:spPr>
      </c:pivotFmt>
      <c:pivotFmt>
        <c:idx val="37"/>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5A7E8C">
              <a:alpha val="95000"/>
            </a:srgbClr>
          </a:solidFill>
          <a:ln>
            <a:solidFill>
              <a:schemeClr val="bg1">
                <a:alpha val="98000"/>
              </a:schemeClr>
            </a:solidFill>
          </a:ln>
          <a:effectLst/>
        </c:spPr>
      </c:pivotFmt>
      <c:pivotFmt>
        <c:idx val="39"/>
        <c:spPr>
          <a:solidFill>
            <a:srgbClr val="7799A6">
              <a:alpha val="95000"/>
            </a:srgbClr>
          </a:solidFill>
          <a:ln>
            <a:solidFill>
              <a:schemeClr val="bg1">
                <a:alpha val="98000"/>
              </a:schemeClr>
            </a:solidFill>
          </a:ln>
          <a:effectLst/>
        </c:spPr>
      </c:pivotFmt>
      <c:pivotFmt>
        <c:idx val="40"/>
        <c:spPr>
          <a:solidFill>
            <a:srgbClr val="9FB6BF">
              <a:alpha val="95000"/>
            </a:srgbClr>
          </a:solidFill>
          <a:ln>
            <a:solidFill>
              <a:schemeClr val="bg1">
                <a:alpha val="98000"/>
              </a:schemeClr>
            </a:solidFill>
          </a:ln>
          <a:effectLst/>
        </c:spPr>
      </c:pivotFmt>
      <c:pivotFmt>
        <c:idx val="41"/>
        <c:spPr>
          <a:solidFill>
            <a:srgbClr val="BFD1D9">
              <a:alpha val="95000"/>
            </a:srgbClr>
          </a:solidFill>
          <a:ln>
            <a:solidFill>
              <a:schemeClr val="bg1">
                <a:alpha val="98000"/>
              </a:schemeClr>
            </a:solidFill>
          </a:ln>
          <a:effectLst/>
        </c:spPr>
      </c:pivotFmt>
      <c:pivotFmt>
        <c:idx val="42"/>
        <c:spPr>
          <a:solidFill>
            <a:srgbClr val="EBF1F2">
              <a:alpha val="95000"/>
            </a:srgbClr>
          </a:solidFill>
          <a:ln>
            <a:solidFill>
              <a:schemeClr val="bg1">
                <a:alpha val="98000"/>
              </a:schemeClr>
            </a:solidFill>
          </a:ln>
          <a:effectLst/>
        </c:spPr>
      </c:pivotFmt>
    </c:pivotFmts>
    <c:plotArea>
      <c:layout/>
      <c:barChart>
        <c:barDir val="bar"/>
        <c:grouping val="clustered"/>
        <c:varyColors val="0"/>
        <c:ser>
          <c:idx val="0"/>
          <c:order val="0"/>
          <c:tx>
            <c:strRef>
              <c:f>'Performance by Manager'!$B$3</c:f>
              <c:strCache>
                <c:ptCount val="1"/>
                <c:pt idx="0">
                  <c:v>Total</c:v>
                </c:pt>
              </c:strCache>
            </c:strRef>
          </c:tx>
          <c:spPr>
            <a:solidFill>
              <a:srgbClr val="9FD6FF">
                <a:alpha val="95000"/>
              </a:srgbClr>
            </a:solidFill>
            <a:ln>
              <a:solidFill>
                <a:schemeClr val="bg1">
                  <a:alpha val="98000"/>
                </a:schemeClr>
              </a:solidFill>
            </a:ln>
            <a:effectLst/>
          </c:spPr>
          <c:invertIfNegative val="0"/>
          <c:dPt>
            <c:idx val="0"/>
            <c:invertIfNegative val="0"/>
            <c:bubble3D val="0"/>
            <c:spPr>
              <a:solidFill>
                <a:srgbClr val="5A7E8C">
                  <a:alpha val="95000"/>
                </a:srgbClr>
              </a:solidFill>
              <a:ln>
                <a:solidFill>
                  <a:schemeClr val="bg1">
                    <a:alpha val="98000"/>
                  </a:schemeClr>
                </a:solidFill>
              </a:ln>
              <a:effectLst/>
            </c:spPr>
            <c:extLst>
              <c:ext xmlns:c16="http://schemas.microsoft.com/office/drawing/2014/chart" uri="{C3380CC4-5D6E-409C-BE32-E72D297353CC}">
                <c16:uniqueId val="{00000001-431B-4B68-86BC-3443B88FDE6F}"/>
              </c:ext>
            </c:extLst>
          </c:dPt>
          <c:dPt>
            <c:idx val="1"/>
            <c:invertIfNegative val="0"/>
            <c:bubble3D val="0"/>
            <c:spPr>
              <a:solidFill>
                <a:srgbClr val="7799A6">
                  <a:alpha val="95000"/>
                </a:srgbClr>
              </a:solidFill>
              <a:ln>
                <a:solidFill>
                  <a:schemeClr val="bg1">
                    <a:alpha val="98000"/>
                  </a:schemeClr>
                </a:solidFill>
              </a:ln>
              <a:effectLst/>
            </c:spPr>
            <c:extLst>
              <c:ext xmlns:c16="http://schemas.microsoft.com/office/drawing/2014/chart" uri="{C3380CC4-5D6E-409C-BE32-E72D297353CC}">
                <c16:uniqueId val="{00000003-431B-4B68-86BC-3443B88FDE6F}"/>
              </c:ext>
            </c:extLst>
          </c:dPt>
          <c:dPt>
            <c:idx val="2"/>
            <c:invertIfNegative val="0"/>
            <c:bubble3D val="0"/>
            <c:spPr>
              <a:solidFill>
                <a:srgbClr val="9FB6BF">
                  <a:alpha val="95000"/>
                </a:srgbClr>
              </a:solidFill>
              <a:ln>
                <a:solidFill>
                  <a:schemeClr val="bg1">
                    <a:alpha val="98000"/>
                  </a:schemeClr>
                </a:solidFill>
              </a:ln>
              <a:effectLst/>
            </c:spPr>
            <c:extLst>
              <c:ext xmlns:c16="http://schemas.microsoft.com/office/drawing/2014/chart" uri="{C3380CC4-5D6E-409C-BE32-E72D297353CC}">
                <c16:uniqueId val="{00000005-431B-4B68-86BC-3443B88FDE6F}"/>
              </c:ext>
            </c:extLst>
          </c:dPt>
          <c:dPt>
            <c:idx val="3"/>
            <c:invertIfNegative val="0"/>
            <c:bubble3D val="0"/>
            <c:spPr>
              <a:solidFill>
                <a:srgbClr val="BFD1D9">
                  <a:alpha val="95000"/>
                </a:srgbClr>
              </a:solidFill>
              <a:ln>
                <a:solidFill>
                  <a:schemeClr val="bg1">
                    <a:alpha val="98000"/>
                  </a:schemeClr>
                </a:solidFill>
              </a:ln>
              <a:effectLst/>
            </c:spPr>
            <c:extLst>
              <c:ext xmlns:c16="http://schemas.microsoft.com/office/drawing/2014/chart" uri="{C3380CC4-5D6E-409C-BE32-E72D297353CC}">
                <c16:uniqueId val="{00000007-431B-4B68-86BC-3443B88FDE6F}"/>
              </c:ext>
            </c:extLst>
          </c:dPt>
          <c:dPt>
            <c:idx val="4"/>
            <c:invertIfNegative val="0"/>
            <c:bubble3D val="0"/>
            <c:spPr>
              <a:solidFill>
                <a:srgbClr val="EBF1F2">
                  <a:alpha val="95000"/>
                </a:srgbClr>
              </a:solidFill>
              <a:ln>
                <a:solidFill>
                  <a:schemeClr val="bg1">
                    <a:alpha val="98000"/>
                  </a:schemeClr>
                </a:solidFill>
              </a:ln>
              <a:effectLst/>
            </c:spPr>
            <c:extLst>
              <c:ext xmlns:c16="http://schemas.microsoft.com/office/drawing/2014/chart" uri="{C3380CC4-5D6E-409C-BE32-E72D297353CC}">
                <c16:uniqueId val="{00000009-431B-4B68-86BC-3443B88FDE6F}"/>
              </c:ext>
            </c:extLst>
          </c:dPt>
          <c:dLbls>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by Manager'!$A$4:$A$9</c:f>
              <c:strCache>
                <c:ptCount val="5"/>
                <c:pt idx="0">
                  <c:v>Joao Silva</c:v>
                </c:pt>
                <c:pt idx="1">
                  <c:v>Tom Jackson</c:v>
                </c:pt>
                <c:pt idx="2">
                  <c:v>Pablo Perez</c:v>
                </c:pt>
                <c:pt idx="3">
                  <c:v>Walter Muller</c:v>
                </c:pt>
                <c:pt idx="4">
                  <c:v>Remy Monet</c:v>
                </c:pt>
              </c:strCache>
            </c:strRef>
          </c:cat>
          <c:val>
            <c:numRef>
              <c:f>'Performance by Manager'!$B$4:$B$9</c:f>
              <c:numCache>
                <c:formatCode>[$$-1009]#,##0.00</c:formatCode>
                <c:ptCount val="5"/>
                <c:pt idx="0">
                  <c:v>241714.11570000008</c:v>
                </c:pt>
                <c:pt idx="1">
                  <c:v>211201.04059999986</c:v>
                </c:pt>
                <c:pt idx="2">
                  <c:v>136200.26649999997</c:v>
                </c:pt>
                <c:pt idx="3">
                  <c:v>100600.13129999998</c:v>
                </c:pt>
                <c:pt idx="4">
                  <c:v>79800.305099999983</c:v>
                </c:pt>
              </c:numCache>
            </c:numRef>
          </c:val>
          <c:extLst>
            <c:ext xmlns:c16="http://schemas.microsoft.com/office/drawing/2014/chart" uri="{C3380CC4-5D6E-409C-BE32-E72D297353CC}">
              <c16:uniqueId val="{0000000A-431B-4B68-86BC-3443B88FDE6F}"/>
            </c:ext>
          </c:extLst>
        </c:ser>
        <c:dLbls>
          <c:showLegendKey val="0"/>
          <c:showVal val="0"/>
          <c:showCatName val="0"/>
          <c:showSerName val="0"/>
          <c:showPercent val="0"/>
          <c:showBubbleSize val="0"/>
        </c:dLbls>
        <c:gapWidth val="20"/>
        <c:axId val="2038585679"/>
        <c:axId val="2038582319"/>
      </c:barChart>
      <c:catAx>
        <c:axId val="203858567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crossAx val="2038582319"/>
        <c:crosses val="autoZero"/>
        <c:auto val="1"/>
        <c:lblAlgn val="ctr"/>
        <c:lblOffset val="100"/>
        <c:noMultiLvlLbl val="0"/>
      </c:catAx>
      <c:valAx>
        <c:axId val="2038582319"/>
        <c:scaling>
          <c:orientation val="minMax"/>
        </c:scaling>
        <c:delete val="1"/>
        <c:axPos val="t"/>
        <c:numFmt formatCode="[$$-1009]#,##0.00" sourceLinked="1"/>
        <c:majorTickMark val="out"/>
        <c:minorTickMark val="none"/>
        <c:tickLblPos val="nextTo"/>
        <c:crossAx val="203858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8F9"/>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[Savory Bite's Dataset Updated.xlsx]Payment method by amount!PivotTable1</c:name>
    <c:fmtId val="10"/>
  </c:pivotSource>
  <c:chart>
    <c:title>
      <c:tx>
        <c:rich>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r>
              <a:rPr lang="en-US"/>
              <a:t>Payment Method by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A7E8C"/>
              </a:solidFill>
              <a:latin typeface="+mn-lt"/>
              <a:ea typeface="+mn-ea"/>
              <a:cs typeface="+mn-cs"/>
            </a:defRPr>
          </a:pPr>
          <a:endParaRPr lang="en-US"/>
        </a:p>
      </c:txPr>
    </c:title>
    <c:autoTitleDeleted val="0"/>
    <c:pivotFmts>
      <c:pivotFmt>
        <c:idx val="0"/>
        <c:spPr>
          <a:solidFill>
            <a:srgbClr val="9FD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1CA6"/>
          </a:solidFill>
          <a:ln>
            <a:noFill/>
          </a:ln>
          <a:effectLst/>
        </c:spPr>
      </c:pivotFmt>
      <c:pivotFmt>
        <c:idx val="2"/>
        <c:spPr>
          <a:solidFill>
            <a:srgbClr val="0339A6"/>
          </a:solidFill>
          <a:ln>
            <a:noFill/>
          </a:ln>
          <a:effectLst/>
        </c:spPr>
      </c:pivotFmt>
      <c:pivotFmt>
        <c:idx val="3"/>
        <c:spPr>
          <a:solidFill>
            <a:srgbClr val="0468BF"/>
          </a:solidFill>
          <a:ln>
            <a:noFill/>
          </a:ln>
          <a:effectLst/>
        </c:spPr>
      </c:pivotFmt>
      <c:pivotFmt>
        <c:idx val="4"/>
        <c:spPr>
          <a:solidFill>
            <a:srgbClr val="049DD9"/>
          </a:solidFill>
          <a:ln>
            <a:noFill/>
          </a:ln>
          <a:effectLst/>
        </c:spPr>
      </c:pivotFmt>
      <c:pivotFmt>
        <c:idx val="5"/>
        <c:spPr>
          <a:solidFill>
            <a:srgbClr val="04B2D9"/>
          </a:solidFill>
          <a:ln>
            <a:noFill/>
          </a:ln>
          <a:effectLst/>
        </c:spPr>
      </c:pivotFmt>
      <c:pivotFmt>
        <c:idx val="6"/>
        <c:spPr>
          <a:solidFill>
            <a:srgbClr val="9FD6FF"/>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31CA6"/>
          </a:solidFill>
          <a:ln>
            <a:noFill/>
          </a:ln>
          <a:effectLst/>
        </c:spPr>
      </c:pivotFmt>
      <c:pivotFmt>
        <c:idx val="8"/>
        <c:spPr>
          <a:solidFill>
            <a:srgbClr val="0339A6"/>
          </a:solidFill>
          <a:ln>
            <a:noFill/>
          </a:ln>
          <a:effectLst/>
        </c:spPr>
      </c:pivotFmt>
      <c:pivotFmt>
        <c:idx val="9"/>
        <c:spPr>
          <a:solidFill>
            <a:srgbClr val="0468BF"/>
          </a:solidFill>
          <a:ln>
            <a:noFill/>
          </a:ln>
          <a:effectLst/>
        </c:spPr>
      </c:pivotFmt>
      <c:pivotFmt>
        <c:idx val="10"/>
        <c:spPr>
          <a:solidFill>
            <a:srgbClr val="049DD9"/>
          </a:solidFill>
          <a:ln>
            <a:noFill/>
          </a:ln>
          <a:effectLst/>
        </c:spPr>
      </c:pivotFmt>
      <c:pivotFmt>
        <c:idx val="11"/>
        <c:spPr>
          <a:solidFill>
            <a:srgbClr val="04B2D9"/>
          </a:solidFill>
          <a:ln>
            <a:noFill/>
          </a:ln>
          <a:effectLst/>
        </c:spPr>
      </c:pivotFmt>
      <c:pivotFmt>
        <c:idx val="12"/>
        <c:spPr>
          <a:solidFill>
            <a:srgbClr val="5A7E8C"/>
          </a:solidFill>
          <a:ln>
            <a:solidFill>
              <a:schemeClr val="bg1"/>
            </a:solidFill>
          </a:ln>
          <a:effectLst/>
        </c:spPr>
      </c:pivotFmt>
      <c:pivotFmt>
        <c:idx val="13"/>
        <c:spPr>
          <a:solidFill>
            <a:srgbClr val="7799A6"/>
          </a:solidFill>
          <a:ln>
            <a:solidFill>
              <a:schemeClr val="bg1"/>
            </a:solidFill>
          </a:ln>
          <a:effectLst/>
        </c:spPr>
      </c:pivotFmt>
      <c:pivotFmt>
        <c:idx val="14"/>
        <c:spPr>
          <a:solidFill>
            <a:srgbClr val="9FB6BF"/>
          </a:solidFill>
          <a:ln>
            <a:solidFill>
              <a:schemeClr val="bg1"/>
            </a:solidFill>
          </a:ln>
          <a:effectLst/>
        </c:spPr>
      </c:pivotFmt>
      <c:pivotFmt>
        <c:idx val="15"/>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A7E8C"/>
          </a:solidFill>
          <a:ln>
            <a:solidFill>
              <a:schemeClr val="bg1"/>
            </a:solidFill>
          </a:ln>
          <a:effectLst/>
        </c:spPr>
      </c:pivotFmt>
      <c:pivotFmt>
        <c:idx val="17"/>
        <c:spPr>
          <a:solidFill>
            <a:srgbClr val="7799A6"/>
          </a:solidFill>
          <a:ln>
            <a:solidFill>
              <a:schemeClr val="bg1"/>
            </a:solidFill>
          </a:ln>
          <a:effectLst/>
        </c:spPr>
      </c:pivotFmt>
      <c:pivotFmt>
        <c:idx val="18"/>
        <c:spPr>
          <a:solidFill>
            <a:srgbClr val="9FB6BF"/>
          </a:solidFill>
          <a:ln>
            <a:solidFill>
              <a:schemeClr val="bg1"/>
            </a:solidFill>
          </a:ln>
          <a:effectLst/>
        </c:spPr>
      </c:pivotFmt>
      <c:pivotFmt>
        <c:idx val="19"/>
        <c:spPr>
          <a:solidFill>
            <a:srgbClr val="5A7E8C">
              <a:alpha val="95000"/>
            </a:srgbClr>
          </a:solidFill>
          <a:ln>
            <a:solidFill>
              <a:schemeClr val="bg1">
                <a:alpha val="98000"/>
              </a:schemeClr>
            </a:solidFill>
          </a:ln>
          <a:effectLst/>
        </c:spPr>
      </c:pivotFmt>
      <c:pivotFmt>
        <c:idx val="20"/>
        <c:spPr>
          <a:solidFill>
            <a:srgbClr val="7799A6">
              <a:alpha val="95000"/>
            </a:srgbClr>
          </a:solidFill>
          <a:ln>
            <a:solidFill>
              <a:schemeClr val="bg1">
                <a:alpha val="98000"/>
              </a:schemeClr>
            </a:solidFill>
          </a:ln>
          <a:effectLst/>
        </c:spPr>
      </c:pivotFmt>
      <c:pivotFmt>
        <c:idx val="21"/>
        <c:spPr>
          <a:solidFill>
            <a:srgbClr val="9FB6BF">
              <a:alpha val="95000"/>
            </a:srgbClr>
          </a:solidFill>
          <a:ln>
            <a:solidFill>
              <a:schemeClr val="bg1">
                <a:alpha val="98000"/>
              </a:schemeClr>
            </a:solidFill>
          </a:ln>
          <a:effectLst/>
        </c:spPr>
      </c:pivotFmt>
      <c:pivotFmt>
        <c:idx val="22"/>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A7E8C">
              <a:alpha val="95000"/>
            </a:srgbClr>
          </a:solidFill>
          <a:ln>
            <a:solidFill>
              <a:schemeClr val="bg1">
                <a:alpha val="98000"/>
              </a:schemeClr>
            </a:solidFill>
          </a:ln>
          <a:effectLst/>
        </c:spPr>
      </c:pivotFmt>
      <c:pivotFmt>
        <c:idx val="24"/>
        <c:spPr>
          <a:solidFill>
            <a:srgbClr val="7799A6">
              <a:alpha val="95000"/>
            </a:srgbClr>
          </a:solidFill>
          <a:ln>
            <a:solidFill>
              <a:schemeClr val="bg1">
                <a:alpha val="98000"/>
              </a:schemeClr>
            </a:solidFill>
          </a:ln>
          <a:effectLst/>
        </c:spPr>
      </c:pivotFmt>
      <c:pivotFmt>
        <c:idx val="25"/>
        <c:spPr>
          <a:solidFill>
            <a:srgbClr val="9FB6BF">
              <a:alpha val="95000"/>
            </a:srgbClr>
          </a:solidFill>
          <a:ln>
            <a:solidFill>
              <a:schemeClr val="bg1">
                <a:alpha val="98000"/>
              </a:schemeClr>
            </a:solidFill>
          </a:ln>
          <a:effectLst/>
        </c:spPr>
      </c:pivotFmt>
      <c:pivotFmt>
        <c:idx val="26"/>
        <c:spPr>
          <a:solidFill>
            <a:srgbClr val="9FD6FF">
              <a:alpha val="95000"/>
            </a:srgbClr>
          </a:solidFill>
          <a:ln>
            <a:solidFill>
              <a:schemeClr val="bg1">
                <a:alpha val="9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A7E8C">
              <a:alpha val="95000"/>
            </a:srgbClr>
          </a:solidFill>
          <a:ln>
            <a:solidFill>
              <a:schemeClr val="bg1">
                <a:alpha val="98000"/>
              </a:schemeClr>
            </a:solidFill>
          </a:ln>
          <a:effectLst/>
        </c:spPr>
      </c:pivotFmt>
      <c:pivotFmt>
        <c:idx val="28"/>
        <c:spPr>
          <a:solidFill>
            <a:srgbClr val="7799A6">
              <a:alpha val="95000"/>
            </a:srgbClr>
          </a:solidFill>
          <a:ln>
            <a:solidFill>
              <a:schemeClr val="bg1">
                <a:alpha val="98000"/>
              </a:schemeClr>
            </a:solidFill>
          </a:ln>
          <a:effectLst/>
        </c:spPr>
      </c:pivotFmt>
      <c:pivotFmt>
        <c:idx val="29"/>
        <c:spPr>
          <a:solidFill>
            <a:srgbClr val="9FB6BF">
              <a:alpha val="95000"/>
            </a:srgbClr>
          </a:solidFill>
          <a:ln>
            <a:solidFill>
              <a:schemeClr val="bg1">
                <a:alpha val="98000"/>
              </a:schemeClr>
            </a:solidFill>
          </a:ln>
          <a:effectLst/>
        </c:spPr>
      </c:pivotFmt>
    </c:pivotFmts>
    <c:plotArea>
      <c:layout/>
      <c:barChart>
        <c:barDir val="col"/>
        <c:grouping val="clustered"/>
        <c:varyColors val="0"/>
        <c:ser>
          <c:idx val="0"/>
          <c:order val="0"/>
          <c:tx>
            <c:strRef>
              <c:f>'Payment method by amount'!$B$3</c:f>
              <c:strCache>
                <c:ptCount val="1"/>
                <c:pt idx="0">
                  <c:v>Total</c:v>
                </c:pt>
              </c:strCache>
            </c:strRef>
          </c:tx>
          <c:spPr>
            <a:solidFill>
              <a:srgbClr val="9FD6FF">
                <a:alpha val="95000"/>
              </a:srgbClr>
            </a:solidFill>
            <a:ln>
              <a:solidFill>
                <a:schemeClr val="bg1">
                  <a:alpha val="98000"/>
                </a:schemeClr>
              </a:solidFill>
            </a:ln>
            <a:effectLst/>
          </c:spPr>
          <c:invertIfNegative val="0"/>
          <c:dPt>
            <c:idx val="0"/>
            <c:invertIfNegative val="0"/>
            <c:bubble3D val="0"/>
            <c:spPr>
              <a:solidFill>
                <a:srgbClr val="5A7E8C">
                  <a:alpha val="95000"/>
                </a:srgbClr>
              </a:solidFill>
              <a:ln>
                <a:solidFill>
                  <a:schemeClr val="bg1">
                    <a:alpha val="98000"/>
                  </a:schemeClr>
                </a:solidFill>
              </a:ln>
              <a:effectLst/>
            </c:spPr>
            <c:extLst>
              <c:ext xmlns:c16="http://schemas.microsoft.com/office/drawing/2014/chart" uri="{C3380CC4-5D6E-409C-BE32-E72D297353CC}">
                <c16:uniqueId val="{00000001-4439-471E-8D12-06BFEBAC67F5}"/>
              </c:ext>
            </c:extLst>
          </c:dPt>
          <c:dPt>
            <c:idx val="1"/>
            <c:invertIfNegative val="0"/>
            <c:bubble3D val="0"/>
            <c:spPr>
              <a:solidFill>
                <a:srgbClr val="7799A6">
                  <a:alpha val="95000"/>
                </a:srgbClr>
              </a:solidFill>
              <a:ln>
                <a:solidFill>
                  <a:schemeClr val="bg1">
                    <a:alpha val="98000"/>
                  </a:schemeClr>
                </a:solidFill>
              </a:ln>
              <a:effectLst/>
            </c:spPr>
            <c:extLst>
              <c:ext xmlns:c16="http://schemas.microsoft.com/office/drawing/2014/chart" uri="{C3380CC4-5D6E-409C-BE32-E72D297353CC}">
                <c16:uniqueId val="{00000003-4439-471E-8D12-06BFEBAC67F5}"/>
              </c:ext>
            </c:extLst>
          </c:dPt>
          <c:dPt>
            <c:idx val="2"/>
            <c:invertIfNegative val="0"/>
            <c:bubble3D val="0"/>
            <c:spPr>
              <a:solidFill>
                <a:srgbClr val="9FB6BF">
                  <a:alpha val="95000"/>
                </a:srgbClr>
              </a:solidFill>
              <a:ln>
                <a:solidFill>
                  <a:schemeClr val="bg1">
                    <a:alpha val="98000"/>
                  </a:schemeClr>
                </a:solidFill>
              </a:ln>
              <a:effectLst/>
            </c:spPr>
            <c:extLst>
              <c:ext xmlns:c16="http://schemas.microsoft.com/office/drawing/2014/chart" uri="{C3380CC4-5D6E-409C-BE32-E72D297353CC}">
                <c16:uniqueId val="{00000005-4439-471E-8D12-06BFEBAC67F5}"/>
              </c:ext>
            </c:extLst>
          </c:dPt>
          <c:dLbls>
            <c:spPr>
              <a:noFill/>
              <a:ln>
                <a:noFill/>
              </a:ln>
              <a:effectLst/>
            </c:spPr>
            <c:txPr>
              <a:bodyPr rot="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by amount'!$A$4:$A$7</c:f>
              <c:strCache>
                <c:ptCount val="3"/>
                <c:pt idx="0">
                  <c:v> Credit Card</c:v>
                </c:pt>
                <c:pt idx="1">
                  <c:v> Cash</c:v>
                </c:pt>
                <c:pt idx="2">
                  <c:v> Gift Card</c:v>
                </c:pt>
              </c:strCache>
            </c:strRef>
          </c:cat>
          <c:val>
            <c:numRef>
              <c:f>'Payment method by amount'!$B$4:$B$7</c:f>
              <c:numCache>
                <c:formatCode>[$$-1009]#,##0.00</c:formatCode>
                <c:ptCount val="3"/>
                <c:pt idx="0">
                  <c:v>361715.02650000021</c:v>
                </c:pt>
                <c:pt idx="1">
                  <c:v>239200.23550000007</c:v>
                </c:pt>
                <c:pt idx="2">
                  <c:v>168600.59719999996</c:v>
                </c:pt>
              </c:numCache>
            </c:numRef>
          </c:val>
          <c:extLst>
            <c:ext xmlns:c16="http://schemas.microsoft.com/office/drawing/2014/chart" uri="{C3380CC4-5D6E-409C-BE32-E72D297353CC}">
              <c16:uniqueId val="{00000006-4439-471E-8D12-06BFEBAC67F5}"/>
            </c:ext>
          </c:extLst>
        </c:ser>
        <c:dLbls>
          <c:showLegendKey val="0"/>
          <c:showVal val="0"/>
          <c:showCatName val="0"/>
          <c:showSerName val="0"/>
          <c:showPercent val="0"/>
          <c:showBubbleSize val="0"/>
        </c:dLbls>
        <c:gapWidth val="20"/>
        <c:axId val="2038585679"/>
        <c:axId val="2038582319"/>
      </c:barChart>
      <c:catAx>
        <c:axId val="203858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7E8C"/>
                </a:solidFill>
                <a:latin typeface="+mn-lt"/>
                <a:ea typeface="+mn-ea"/>
                <a:cs typeface="+mn-cs"/>
              </a:defRPr>
            </a:pPr>
            <a:endParaRPr lang="en-US"/>
          </a:p>
        </c:txPr>
        <c:crossAx val="2038582319"/>
        <c:crosses val="autoZero"/>
        <c:auto val="1"/>
        <c:lblAlgn val="ctr"/>
        <c:lblOffset val="100"/>
        <c:noMultiLvlLbl val="0"/>
      </c:catAx>
      <c:valAx>
        <c:axId val="2038582319"/>
        <c:scaling>
          <c:orientation val="minMax"/>
        </c:scaling>
        <c:delete val="1"/>
        <c:axPos val="l"/>
        <c:numFmt formatCode="[$$-1009]#,##0.00" sourceLinked="1"/>
        <c:majorTickMark val="out"/>
        <c:minorTickMark val="none"/>
        <c:tickLblPos val="nextTo"/>
        <c:crossAx val="203858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5A7E8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svg"/><Relationship Id="rId5" Type="http://schemas.openxmlformats.org/officeDocument/2006/relationships/chart" Target="../charts/chart12.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11.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535674</xdr:colOff>
      <xdr:row>3</xdr:row>
      <xdr:rowOff>68237</xdr:rowOff>
    </xdr:from>
    <xdr:to>
      <xdr:col>10</xdr:col>
      <xdr:colOff>303662</xdr:colOff>
      <xdr:row>18</xdr:row>
      <xdr:rowOff>150124</xdr:rowOff>
    </xdr:to>
    <xdr:graphicFrame macro="">
      <xdr:nvGraphicFramePr>
        <xdr:cNvPr id="2" name="Chart 1">
          <a:extLst>
            <a:ext uri="{FF2B5EF4-FFF2-40B4-BE49-F238E27FC236}">
              <a16:creationId xmlns:a16="http://schemas.microsoft.com/office/drawing/2014/main" id="{50505AE1-BA8A-FB0D-CD04-2FFF9CE0C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556145</xdr:colOff>
      <xdr:row>3</xdr:row>
      <xdr:rowOff>75062</xdr:rowOff>
    </xdr:from>
    <xdr:to>
      <xdr:col>10</xdr:col>
      <xdr:colOff>324133</xdr:colOff>
      <xdr:row>18</xdr:row>
      <xdr:rowOff>156949</xdr:rowOff>
    </xdr:to>
    <xdr:graphicFrame macro="">
      <xdr:nvGraphicFramePr>
        <xdr:cNvPr id="2" name="Chart 1">
          <a:extLst>
            <a:ext uri="{FF2B5EF4-FFF2-40B4-BE49-F238E27FC236}">
              <a16:creationId xmlns:a16="http://schemas.microsoft.com/office/drawing/2014/main" id="{F3B20F40-04F9-439B-96BE-9F2A8A060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119417</xdr:colOff>
      <xdr:row>2</xdr:row>
      <xdr:rowOff>54590</xdr:rowOff>
    </xdr:from>
    <xdr:to>
      <xdr:col>11</xdr:col>
      <xdr:colOff>487908</xdr:colOff>
      <xdr:row>17</xdr:row>
      <xdr:rowOff>136477</xdr:rowOff>
    </xdr:to>
    <xdr:graphicFrame macro="">
      <xdr:nvGraphicFramePr>
        <xdr:cNvPr id="2" name="Chart 1">
          <a:extLst>
            <a:ext uri="{FF2B5EF4-FFF2-40B4-BE49-F238E27FC236}">
              <a16:creationId xmlns:a16="http://schemas.microsoft.com/office/drawing/2014/main" id="{12095668-1ED7-42C7-A4BF-86666E730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576616</xdr:colOff>
      <xdr:row>3</xdr:row>
      <xdr:rowOff>81886</xdr:rowOff>
    </xdr:from>
    <xdr:to>
      <xdr:col>10</xdr:col>
      <xdr:colOff>344604</xdr:colOff>
      <xdr:row>18</xdr:row>
      <xdr:rowOff>163773</xdr:rowOff>
    </xdr:to>
    <xdr:graphicFrame macro="">
      <xdr:nvGraphicFramePr>
        <xdr:cNvPr id="2" name="Chart 1">
          <a:extLst>
            <a:ext uri="{FF2B5EF4-FFF2-40B4-BE49-F238E27FC236}">
              <a16:creationId xmlns:a16="http://schemas.microsoft.com/office/drawing/2014/main" id="{5CADE3AD-0FA9-463C-B693-D0A4C0A02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556145</xdr:colOff>
      <xdr:row>3</xdr:row>
      <xdr:rowOff>75062</xdr:rowOff>
    </xdr:from>
    <xdr:to>
      <xdr:col>10</xdr:col>
      <xdr:colOff>324133</xdr:colOff>
      <xdr:row>18</xdr:row>
      <xdr:rowOff>156949</xdr:rowOff>
    </xdr:to>
    <xdr:graphicFrame macro="">
      <xdr:nvGraphicFramePr>
        <xdr:cNvPr id="2" name="Chart 1">
          <a:extLst>
            <a:ext uri="{FF2B5EF4-FFF2-40B4-BE49-F238E27FC236}">
              <a16:creationId xmlns:a16="http://schemas.microsoft.com/office/drawing/2014/main" id="{93A614AE-F424-489A-9788-CD08F31CA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556145</xdr:colOff>
      <xdr:row>3</xdr:row>
      <xdr:rowOff>75062</xdr:rowOff>
    </xdr:from>
    <xdr:to>
      <xdr:col>10</xdr:col>
      <xdr:colOff>324133</xdr:colOff>
      <xdr:row>18</xdr:row>
      <xdr:rowOff>156949</xdr:rowOff>
    </xdr:to>
    <xdr:graphicFrame macro="">
      <xdr:nvGraphicFramePr>
        <xdr:cNvPr id="2" name="Chart 1">
          <a:extLst>
            <a:ext uri="{FF2B5EF4-FFF2-40B4-BE49-F238E27FC236}">
              <a16:creationId xmlns:a16="http://schemas.microsoft.com/office/drawing/2014/main" id="{6381D7AB-DF6A-497F-8580-DB88B08D6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590263</xdr:colOff>
      <xdr:row>3</xdr:row>
      <xdr:rowOff>75062</xdr:rowOff>
    </xdr:from>
    <xdr:to>
      <xdr:col>13</xdr:col>
      <xdr:colOff>573205</xdr:colOff>
      <xdr:row>18</xdr:row>
      <xdr:rowOff>156949</xdr:rowOff>
    </xdr:to>
    <xdr:graphicFrame macro="">
      <xdr:nvGraphicFramePr>
        <xdr:cNvPr id="2" name="Chart 1">
          <a:extLst>
            <a:ext uri="{FF2B5EF4-FFF2-40B4-BE49-F238E27FC236}">
              <a16:creationId xmlns:a16="http://schemas.microsoft.com/office/drawing/2014/main" id="{10D250D4-D628-4A36-BCF7-305AB9179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266125</xdr:colOff>
      <xdr:row>3</xdr:row>
      <xdr:rowOff>116004</xdr:rowOff>
    </xdr:from>
    <xdr:to>
      <xdr:col>5</xdr:col>
      <xdr:colOff>122829</xdr:colOff>
      <xdr:row>24</xdr:row>
      <xdr:rowOff>13648</xdr:rowOff>
    </xdr:to>
    <xdr:sp macro="" textlink="">
      <xdr:nvSpPr>
        <xdr:cNvPr id="2" name="Rectangle: Rounded Corners 1">
          <a:extLst>
            <a:ext uri="{FF2B5EF4-FFF2-40B4-BE49-F238E27FC236}">
              <a16:creationId xmlns:a16="http://schemas.microsoft.com/office/drawing/2014/main" id="{6028C4A5-39AC-6A68-68C8-323828D20D4E}"/>
            </a:ext>
          </a:extLst>
        </xdr:cNvPr>
        <xdr:cNvSpPr/>
      </xdr:nvSpPr>
      <xdr:spPr>
        <a:xfrm>
          <a:off x="266125" y="648267"/>
          <a:ext cx="2859211" cy="3623482"/>
        </a:xfrm>
        <a:prstGeom prst="roundRect">
          <a:avLst/>
        </a:prstGeom>
        <a:solidFill>
          <a:srgbClr val="5A7E8C"/>
        </a:solidFill>
        <a:ln>
          <a:solidFill>
            <a:srgbClr val="5A7E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Project Split</a:t>
          </a:r>
        </a:p>
        <a:p>
          <a:pPr algn="l"/>
          <a:endParaRPr lang="en-US" sz="1100" b="1">
            <a:solidFill>
              <a:schemeClr val="bg1"/>
            </a:solidFill>
          </a:endParaRPr>
        </a:p>
        <a:p>
          <a:pPr algn="l"/>
          <a:r>
            <a:rPr lang="en-US" sz="1100" b="1">
              <a:solidFill>
                <a:schemeClr val="bg1"/>
              </a:solidFill>
            </a:rPr>
            <a:t>Category One: Independant values</a:t>
          </a:r>
        </a:p>
        <a:p>
          <a:pPr algn="l"/>
          <a:r>
            <a:rPr lang="en-US" sz="1100">
              <a:solidFill>
                <a:schemeClr val="bg1"/>
              </a:solidFill>
            </a:rPr>
            <a:t>- Product</a:t>
          </a:r>
        </a:p>
        <a:p>
          <a:pPr algn="l"/>
          <a:r>
            <a:rPr lang="en-US" sz="1100">
              <a:solidFill>
                <a:schemeClr val="bg1"/>
              </a:solidFill>
            </a:rPr>
            <a:t>-</a:t>
          </a:r>
          <a:r>
            <a:rPr lang="en-US" sz="1100" baseline="0">
              <a:solidFill>
                <a:schemeClr val="bg1"/>
              </a:solidFill>
            </a:rPr>
            <a:t> Purchase type</a:t>
          </a:r>
        </a:p>
        <a:p>
          <a:pPr algn="l"/>
          <a:r>
            <a:rPr lang="en-US" sz="1100" baseline="0">
              <a:solidFill>
                <a:schemeClr val="bg1"/>
              </a:solidFill>
            </a:rPr>
            <a:t>- Payment Method</a:t>
          </a:r>
        </a:p>
        <a:p>
          <a:pPr algn="l"/>
          <a:r>
            <a:rPr lang="en-US" sz="1100" baseline="0">
              <a:solidFill>
                <a:schemeClr val="bg1"/>
              </a:solidFill>
            </a:rPr>
            <a:t>- Manager</a:t>
          </a:r>
        </a:p>
        <a:p>
          <a:pPr algn="l"/>
          <a:r>
            <a:rPr lang="en-US" sz="1100" baseline="0">
              <a:solidFill>
                <a:schemeClr val="bg1"/>
              </a:solidFill>
            </a:rPr>
            <a:t>- City </a:t>
          </a:r>
        </a:p>
        <a:p>
          <a:pPr algn="l"/>
          <a:r>
            <a:rPr lang="en-US" sz="1100" baseline="0">
              <a:solidFill>
                <a:schemeClr val="bg1"/>
              </a:solidFill>
            </a:rPr>
            <a:t>- Months</a:t>
          </a:r>
        </a:p>
        <a:p>
          <a:pPr algn="l"/>
          <a:r>
            <a:rPr lang="en-US" sz="1100" baseline="0">
              <a:solidFill>
                <a:schemeClr val="bg1"/>
              </a:solidFill>
            </a:rPr>
            <a:t>- Days</a:t>
          </a:r>
          <a:endParaRPr lang="en-US" sz="1100">
            <a:solidFill>
              <a:schemeClr val="bg1"/>
            </a:solidFill>
          </a:endParaRPr>
        </a:p>
        <a:p>
          <a:pPr algn="l"/>
          <a:endParaRPr lang="en-US" sz="1100">
            <a:solidFill>
              <a:schemeClr val="bg1"/>
            </a:solidFill>
          </a:endParaRPr>
        </a:p>
        <a:p>
          <a:pPr algn="l"/>
          <a:r>
            <a:rPr lang="en-US" sz="1100" b="1">
              <a:solidFill>
                <a:schemeClr val="bg1"/>
              </a:solidFill>
            </a:rPr>
            <a:t>Category Two: Dependent Values</a:t>
          </a:r>
        </a:p>
        <a:p>
          <a:pPr algn="l"/>
          <a:r>
            <a:rPr lang="en-US" sz="1100">
              <a:solidFill>
                <a:schemeClr val="bg1"/>
              </a:solidFill>
            </a:rPr>
            <a:t>- Order ID</a:t>
          </a:r>
        </a:p>
        <a:p>
          <a:pPr algn="l"/>
          <a:r>
            <a:rPr lang="en-US" sz="1100">
              <a:solidFill>
                <a:schemeClr val="bg1"/>
              </a:solidFill>
            </a:rPr>
            <a:t>- Price</a:t>
          </a:r>
        </a:p>
        <a:p>
          <a:pPr algn="l"/>
          <a:r>
            <a:rPr lang="en-US" sz="1100">
              <a:solidFill>
                <a:schemeClr val="bg1"/>
              </a:solidFill>
            </a:rPr>
            <a:t>-</a:t>
          </a:r>
          <a:r>
            <a:rPr lang="en-US" sz="1100" baseline="0">
              <a:solidFill>
                <a:schemeClr val="bg1"/>
              </a:solidFill>
            </a:rPr>
            <a:t> Quantity</a:t>
          </a:r>
        </a:p>
        <a:p>
          <a:pPr algn="l"/>
          <a:r>
            <a:rPr lang="en-US" sz="1100" baseline="0">
              <a:solidFill>
                <a:schemeClr val="bg1"/>
              </a:solidFill>
            </a:rPr>
            <a:t>- Total Amount</a:t>
          </a:r>
          <a:endParaRPr lang="en-US" sz="1100">
            <a:solidFill>
              <a:schemeClr val="bg1"/>
            </a:solidFill>
          </a:endParaRPr>
        </a:p>
        <a:p>
          <a:pPr algn="l"/>
          <a:endParaRPr lang="en-US" sz="1100">
            <a:solidFill>
              <a:schemeClr val="bg1"/>
            </a:solidFill>
          </a:endParaRPr>
        </a:p>
      </xdr:txBody>
    </xdr:sp>
    <xdr:clientData/>
  </xdr:twoCellAnchor>
  <xdr:twoCellAnchor>
    <xdr:from>
      <xdr:col>5</xdr:col>
      <xdr:colOff>234294</xdr:colOff>
      <xdr:row>3</xdr:row>
      <xdr:rowOff>122829</xdr:rowOff>
    </xdr:from>
    <xdr:to>
      <xdr:col>9</xdr:col>
      <xdr:colOff>573208</xdr:colOff>
      <xdr:row>23</xdr:row>
      <xdr:rowOff>150124</xdr:rowOff>
    </xdr:to>
    <xdr:sp macro="" textlink="">
      <xdr:nvSpPr>
        <xdr:cNvPr id="3" name="Rectangle: Rounded Corners 2">
          <a:extLst>
            <a:ext uri="{FF2B5EF4-FFF2-40B4-BE49-F238E27FC236}">
              <a16:creationId xmlns:a16="http://schemas.microsoft.com/office/drawing/2014/main" id="{CEEFA8BC-B644-3BF7-9911-785CEBF38685}"/>
            </a:ext>
          </a:extLst>
        </xdr:cNvPr>
        <xdr:cNvSpPr/>
      </xdr:nvSpPr>
      <xdr:spPr>
        <a:xfrm>
          <a:off x="3236801" y="655092"/>
          <a:ext cx="2740920" cy="3575713"/>
        </a:xfrm>
        <a:prstGeom prst="roundRect">
          <a:avLst/>
        </a:prstGeom>
        <a:ln>
          <a:solidFill>
            <a:srgbClr val="5A7E8C"/>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solidFill>
                <a:srgbClr val="5A7E8C"/>
              </a:solidFill>
            </a:rPr>
            <a:t>Potential Analysis</a:t>
          </a:r>
        </a:p>
        <a:p>
          <a:pPr algn="l"/>
          <a:r>
            <a:rPr lang="en-US" sz="1100">
              <a:solidFill>
                <a:srgbClr val="5A7E8C"/>
              </a:solidFill>
            </a:rPr>
            <a:t>- Analyze the product by total amount</a:t>
          </a:r>
        </a:p>
        <a:p>
          <a:pPr algn="l"/>
          <a:r>
            <a:rPr lang="en-US" sz="1100">
              <a:solidFill>
                <a:srgbClr val="5A7E8C"/>
              </a:solidFill>
            </a:rPr>
            <a:t>- Analyze the</a:t>
          </a:r>
          <a:r>
            <a:rPr lang="en-US" sz="1100" baseline="0">
              <a:solidFill>
                <a:srgbClr val="5A7E8C"/>
              </a:solidFill>
            </a:rPr>
            <a:t> most used purchase type by total amount</a:t>
          </a:r>
        </a:p>
        <a:p>
          <a:pPr algn="l"/>
          <a:r>
            <a:rPr lang="en-US" sz="1100" baseline="0">
              <a:solidFill>
                <a:srgbClr val="5A7E8C"/>
              </a:solidFill>
            </a:rPr>
            <a:t>- Analyze the most used payment method by total amount</a:t>
          </a:r>
        </a:p>
        <a:p>
          <a:pPr algn="l"/>
          <a:r>
            <a:rPr lang="en-US" sz="1100" baseline="0">
              <a:solidFill>
                <a:srgbClr val="5A7E8C"/>
              </a:solidFill>
            </a:rPr>
            <a:t>- Analyze the best performing manager by total amount</a:t>
          </a:r>
        </a:p>
        <a:p>
          <a:pPr algn="l"/>
          <a:r>
            <a:rPr lang="en-US" sz="1100">
              <a:solidFill>
                <a:srgbClr val="5A7E8C"/>
              </a:solidFill>
            </a:rPr>
            <a:t>- Analyze the monthly sales trends by total amount</a:t>
          </a:r>
        </a:p>
        <a:p>
          <a:pPr algn="l"/>
          <a:r>
            <a:rPr lang="en-US" sz="1100">
              <a:solidFill>
                <a:srgbClr val="5A7E8C"/>
              </a:solidFill>
            </a:rPr>
            <a:t>- Analyze the most performing city by amount</a:t>
          </a:r>
        </a:p>
        <a:p>
          <a:pPr algn="l"/>
          <a:r>
            <a:rPr lang="en-US" sz="1100">
              <a:solidFill>
                <a:srgbClr val="5A7E8C"/>
              </a:solidFill>
            </a:rPr>
            <a:t>Answering</a:t>
          </a:r>
          <a:r>
            <a:rPr lang="en-US" sz="1100" baseline="0">
              <a:solidFill>
                <a:srgbClr val="5A7E8C"/>
              </a:solidFill>
            </a:rPr>
            <a:t> questions like:</a:t>
          </a:r>
        </a:p>
        <a:p>
          <a:pPr algn="l"/>
          <a:r>
            <a:rPr lang="en-US" sz="1100">
              <a:solidFill>
                <a:srgbClr val="5A7E8C"/>
              </a:solidFill>
            </a:rPr>
            <a:t>What is the best performing</a:t>
          </a:r>
          <a:r>
            <a:rPr lang="en-US" sz="1100" baseline="0">
              <a:solidFill>
                <a:srgbClr val="5A7E8C"/>
              </a:solidFill>
            </a:rPr>
            <a:t> products?</a:t>
          </a:r>
        </a:p>
        <a:p>
          <a:pPr algn="l"/>
          <a:r>
            <a:rPr lang="en-US" sz="1100">
              <a:solidFill>
                <a:srgbClr val="5A7E8C"/>
              </a:solidFill>
            </a:rPr>
            <a:t>Who is the best Manager?</a:t>
          </a:r>
        </a:p>
        <a:p>
          <a:pPr algn="l"/>
          <a:r>
            <a:rPr lang="en-US" sz="1100">
              <a:solidFill>
                <a:srgbClr val="5A7E8C"/>
              </a:solidFill>
            </a:rPr>
            <a:t>What city generates more revenue?</a:t>
          </a:r>
        </a:p>
        <a:p>
          <a:pPr algn="l"/>
          <a:r>
            <a:rPr lang="en-US" sz="1100">
              <a:solidFill>
                <a:srgbClr val="5A7E8C"/>
              </a:solidFill>
            </a:rPr>
            <a:t>What payment method</a:t>
          </a:r>
          <a:r>
            <a:rPr lang="en-US" sz="1100" baseline="0">
              <a:solidFill>
                <a:srgbClr val="5A7E8C"/>
              </a:solidFill>
            </a:rPr>
            <a:t> is mostly used?</a:t>
          </a:r>
        </a:p>
      </xdr:txBody>
    </xdr:sp>
    <xdr:clientData/>
  </xdr:twoCellAnchor>
  <xdr:twoCellAnchor>
    <xdr:from>
      <xdr:col>10</xdr:col>
      <xdr:colOff>38685</xdr:colOff>
      <xdr:row>3</xdr:row>
      <xdr:rowOff>143301</xdr:rowOff>
    </xdr:from>
    <xdr:to>
      <xdr:col>14</xdr:col>
      <xdr:colOff>511791</xdr:colOff>
      <xdr:row>23</xdr:row>
      <xdr:rowOff>150125</xdr:rowOff>
    </xdr:to>
    <xdr:sp macro="" textlink="">
      <xdr:nvSpPr>
        <xdr:cNvPr id="4" name="Rectangle: Rounded Corners 3">
          <a:extLst>
            <a:ext uri="{FF2B5EF4-FFF2-40B4-BE49-F238E27FC236}">
              <a16:creationId xmlns:a16="http://schemas.microsoft.com/office/drawing/2014/main" id="{13C14E2E-03B8-0D3E-B612-8C183F92FC62}"/>
            </a:ext>
          </a:extLst>
        </xdr:cNvPr>
        <xdr:cNvSpPr/>
      </xdr:nvSpPr>
      <xdr:spPr>
        <a:xfrm>
          <a:off x="6043700" y="675564"/>
          <a:ext cx="2875112" cy="3555242"/>
        </a:xfrm>
        <a:prstGeom prst="roundRect">
          <a:avLst/>
        </a:prstGeom>
        <a:ln>
          <a:solidFill>
            <a:srgbClr val="5A7E8C"/>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US" sz="1100" b="1">
              <a:solidFill>
                <a:srgbClr val="5A7E8C"/>
              </a:solidFill>
            </a:rPr>
            <a:t>Industry</a:t>
          </a:r>
          <a:endParaRPr lang="en-US" sz="1100">
            <a:solidFill>
              <a:srgbClr val="5A7E8C"/>
            </a:solidFill>
          </a:endParaRPr>
        </a:p>
        <a:p>
          <a:pPr algn="l"/>
          <a:r>
            <a:rPr lang="en-US" sz="1100">
              <a:solidFill>
                <a:srgbClr val="5A7E8C"/>
              </a:solidFill>
            </a:rPr>
            <a:t>Restraunt</a:t>
          </a:r>
          <a:r>
            <a:rPr lang="en-US" sz="1100" baseline="0">
              <a:solidFill>
                <a:srgbClr val="5A7E8C"/>
              </a:solidFill>
            </a:rPr>
            <a:t> or Cafe</a:t>
          </a:r>
        </a:p>
        <a:p>
          <a:pPr algn="l"/>
          <a:endParaRPr lang="en-US" sz="1100">
            <a:solidFill>
              <a:srgbClr val="5A7E8C"/>
            </a:solidFill>
          </a:endParaRPr>
        </a:p>
        <a:p>
          <a:pPr algn="l"/>
          <a:r>
            <a:rPr lang="en-US" sz="1100" b="1">
              <a:solidFill>
                <a:srgbClr val="5A7E8C"/>
              </a:solidFill>
            </a:rPr>
            <a:t>Story of the data</a:t>
          </a:r>
        </a:p>
        <a:p>
          <a:pPr algn="l"/>
          <a:r>
            <a:rPr lang="en-US" sz="1100" b="0">
              <a:solidFill>
                <a:srgbClr val="5A7E8C"/>
              </a:solidFill>
            </a:rPr>
            <a:t> This dataset</a:t>
          </a:r>
          <a:r>
            <a:rPr lang="en-US" sz="1100" b="0" baseline="0">
              <a:solidFill>
                <a:srgbClr val="5A7E8C"/>
              </a:solidFill>
            </a:rPr>
            <a:t> contains sales information from Nov-Dec 2022. It highlights the products, puchase type ,payment method, price quantity and total amount. By analyzing this data, insights on the best performing products, sales trends, top performing manager can be obtained.</a:t>
          </a:r>
        </a:p>
        <a:p>
          <a:pPr algn="l"/>
          <a:endParaRPr lang="en-US" sz="1100" b="0" baseline="0">
            <a:solidFill>
              <a:srgbClr val="5A7E8C"/>
            </a:solidFill>
          </a:endParaRPr>
        </a:p>
        <a:p>
          <a:pPr algn="l"/>
          <a:r>
            <a:rPr lang="en-US" sz="1100" b="1" baseline="0">
              <a:solidFill>
                <a:srgbClr val="5A7E8C"/>
              </a:solidFill>
            </a:rPr>
            <a:t>Key Stakeholders</a:t>
          </a:r>
        </a:p>
        <a:p>
          <a:pPr algn="l"/>
          <a:r>
            <a:rPr lang="en-US" sz="1100" b="0" baseline="0">
              <a:solidFill>
                <a:srgbClr val="5A7E8C"/>
              </a:solidFill>
            </a:rPr>
            <a:t>The Executives</a:t>
          </a:r>
        </a:p>
        <a:p>
          <a:pPr algn="l"/>
          <a:r>
            <a:rPr lang="en-US" sz="1100" b="0" baseline="0">
              <a:solidFill>
                <a:srgbClr val="5A7E8C"/>
              </a:solidFill>
            </a:rPr>
            <a:t>Sales &amp; Marketing Teams</a:t>
          </a:r>
        </a:p>
        <a:p>
          <a:pPr algn="l"/>
          <a:r>
            <a:rPr lang="en-US" sz="1100" b="0" baseline="0">
              <a:solidFill>
                <a:srgbClr val="5A7E8C"/>
              </a:solidFill>
            </a:rPr>
            <a:t>Finance Department</a:t>
          </a:r>
        </a:p>
      </xdr:txBody>
    </xdr:sp>
    <xdr:clientData/>
  </xdr:twoCellAnchor>
  <xdr:twoCellAnchor>
    <xdr:from>
      <xdr:col>15</xdr:col>
      <xdr:colOff>34144</xdr:colOff>
      <xdr:row>3</xdr:row>
      <xdr:rowOff>143301</xdr:rowOff>
    </xdr:from>
    <xdr:to>
      <xdr:col>19</xdr:col>
      <xdr:colOff>341194</xdr:colOff>
      <xdr:row>23</xdr:row>
      <xdr:rowOff>95534</xdr:rowOff>
    </xdr:to>
    <xdr:sp macro="" textlink="">
      <xdr:nvSpPr>
        <xdr:cNvPr id="5" name="Rectangle: Rounded Corners 4">
          <a:extLst>
            <a:ext uri="{FF2B5EF4-FFF2-40B4-BE49-F238E27FC236}">
              <a16:creationId xmlns:a16="http://schemas.microsoft.com/office/drawing/2014/main" id="{02FFFFA2-7DF6-07C3-933F-26D2C19F2D48}"/>
            </a:ext>
          </a:extLst>
        </xdr:cNvPr>
        <xdr:cNvSpPr/>
      </xdr:nvSpPr>
      <xdr:spPr>
        <a:xfrm>
          <a:off x="9041666" y="675564"/>
          <a:ext cx="2709056" cy="3500651"/>
        </a:xfrm>
        <a:prstGeom prst="roundRect">
          <a:avLst/>
        </a:prstGeom>
        <a:solidFill>
          <a:srgbClr val="5A7E8C"/>
        </a:solidFill>
        <a:ln>
          <a:solidFill>
            <a:srgbClr val="5A7E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Potential Insights</a:t>
          </a:r>
          <a:endParaRPr lang="en-US" sz="1100"/>
        </a:p>
        <a:p>
          <a:pPr algn="l"/>
          <a:r>
            <a:rPr lang="en-US" sz="1100"/>
            <a:t>-</a:t>
          </a:r>
          <a:r>
            <a:rPr lang="en-US" sz="1100" baseline="0"/>
            <a:t> Recognize the best performing  products and introduce effective ways to ensure more sales</a:t>
          </a:r>
        </a:p>
        <a:p>
          <a:pPr algn="l"/>
          <a:r>
            <a:rPr lang="en-US" sz="1100" baseline="0"/>
            <a:t>- Advertizing and promoting less sold products to increase sales and profit</a:t>
          </a:r>
        </a:p>
        <a:p>
          <a:pPr algn="l"/>
          <a:r>
            <a:rPr lang="en-US" sz="1100" baseline="0"/>
            <a:t>- Extend the methodology used in top performing cities to other cities.</a:t>
          </a:r>
        </a:p>
        <a:p>
          <a:pPr algn="l"/>
          <a:r>
            <a:rPr lang="en-US" sz="1100" baseline="0"/>
            <a:t>- Best perfroming Managers should be promoted or given the permit to supervise others and help them where they are lacking the skills and also teach them the best methods to use inorder to retain customers.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t>- </a:t>
          </a:r>
          <a:r>
            <a:rPr lang="en-US" sz="1100" b="0" i="0">
              <a:solidFill>
                <a:schemeClr val="lt1"/>
              </a:solidFill>
              <a:effectLst/>
              <a:latin typeface="+mn-lt"/>
              <a:ea typeface="+mn-ea"/>
              <a:cs typeface="+mn-cs"/>
            </a:rPr>
            <a:t>Launch targeted promotions in low-demand months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a:solidFill>
                <a:schemeClr val="lt1"/>
              </a:solidFill>
              <a:effectLst/>
              <a:latin typeface="+mn-lt"/>
              <a:ea typeface="+mn-ea"/>
              <a:cs typeface="+mn-cs"/>
            </a:rPr>
            <a:t>- Encourage the use of low</a:t>
          </a:r>
          <a:r>
            <a:rPr lang="en-US" sz="1100" b="0" i="0" baseline="0">
              <a:solidFill>
                <a:schemeClr val="lt1"/>
              </a:solidFill>
              <a:effectLst/>
              <a:latin typeface="+mn-lt"/>
              <a:ea typeface="+mn-ea"/>
              <a:cs typeface="+mn-cs"/>
            </a:rPr>
            <a:t> performing payment methods.</a:t>
          </a:r>
          <a:endParaRPr lang="en-US">
            <a:effectLst/>
          </a:endParaRPr>
        </a:p>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266125</xdr:colOff>
      <xdr:row>3</xdr:row>
      <xdr:rowOff>116004</xdr:rowOff>
    </xdr:from>
    <xdr:to>
      <xdr:col>5</xdr:col>
      <xdr:colOff>122829</xdr:colOff>
      <xdr:row>24</xdr:row>
      <xdr:rowOff>13648</xdr:rowOff>
    </xdr:to>
    <xdr:sp macro="" textlink="">
      <xdr:nvSpPr>
        <xdr:cNvPr id="2" name="Rectangle: Rounded Corners 1">
          <a:extLst>
            <a:ext uri="{FF2B5EF4-FFF2-40B4-BE49-F238E27FC236}">
              <a16:creationId xmlns:a16="http://schemas.microsoft.com/office/drawing/2014/main" id="{9E36A574-07D9-4EC2-8E5C-8160E4EE3752}"/>
            </a:ext>
          </a:extLst>
        </xdr:cNvPr>
        <xdr:cNvSpPr/>
      </xdr:nvSpPr>
      <xdr:spPr>
        <a:xfrm>
          <a:off x="266125" y="648267"/>
          <a:ext cx="2859211" cy="3623482"/>
        </a:xfrm>
        <a:prstGeom prst="roundRect">
          <a:avLst/>
        </a:prstGeom>
        <a:solidFill>
          <a:srgbClr val="5A7E8C"/>
        </a:solidFill>
        <a:ln>
          <a:solidFill>
            <a:srgbClr val="5A7E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ANALYSIS: </a:t>
          </a:r>
          <a:r>
            <a:rPr lang="en-US" sz="1100" b="1" baseline="0">
              <a:solidFill>
                <a:schemeClr val="bg1"/>
              </a:solidFill>
            </a:rPr>
            <a:t> Product by Amount</a:t>
          </a:r>
        </a:p>
        <a:p>
          <a:pPr algn="l"/>
          <a:r>
            <a:rPr lang="en-US" sz="1100" b="1" baseline="0">
              <a:solidFill>
                <a:schemeClr val="bg1"/>
              </a:solidFill>
            </a:rPr>
            <a:t>Observations:</a:t>
          </a:r>
        </a:p>
        <a:p>
          <a:pPr algn="l"/>
          <a:endParaRPr lang="en-US" sz="1100" b="1" baseline="0">
            <a:solidFill>
              <a:schemeClr val="bg1"/>
            </a:solidFill>
          </a:endParaRPr>
        </a:p>
        <a:p>
          <a:pPr algn="l"/>
          <a:r>
            <a:rPr lang="en-US" sz="1100" b="1" baseline="0">
              <a:solidFill>
                <a:schemeClr val="bg1"/>
              </a:solidFill>
            </a:rPr>
            <a:t>Pre-Insights:</a:t>
          </a:r>
        </a:p>
        <a:p>
          <a:pPr algn="l"/>
          <a:endParaRPr lang="en-US" sz="1100" b="0">
            <a:solidFill>
              <a:schemeClr val="bg1"/>
            </a:solidFill>
          </a:endParaRPr>
        </a:p>
      </xdr:txBody>
    </xdr:sp>
    <xdr:clientData/>
  </xdr:twoCellAnchor>
  <xdr:twoCellAnchor>
    <xdr:from>
      <xdr:col>5</xdr:col>
      <xdr:colOff>234294</xdr:colOff>
      <xdr:row>3</xdr:row>
      <xdr:rowOff>122829</xdr:rowOff>
    </xdr:from>
    <xdr:to>
      <xdr:col>9</xdr:col>
      <xdr:colOff>573208</xdr:colOff>
      <xdr:row>23</xdr:row>
      <xdr:rowOff>150124</xdr:rowOff>
    </xdr:to>
    <xdr:sp macro="" textlink="">
      <xdr:nvSpPr>
        <xdr:cNvPr id="3" name="Rectangle: Rounded Corners 2">
          <a:extLst>
            <a:ext uri="{FF2B5EF4-FFF2-40B4-BE49-F238E27FC236}">
              <a16:creationId xmlns:a16="http://schemas.microsoft.com/office/drawing/2014/main" id="{0D782007-88E8-4782-A125-1FD7A840E655}"/>
            </a:ext>
          </a:extLst>
        </xdr:cNvPr>
        <xdr:cNvSpPr/>
      </xdr:nvSpPr>
      <xdr:spPr>
        <a:xfrm>
          <a:off x="3236801" y="655092"/>
          <a:ext cx="2740920" cy="3575713"/>
        </a:xfrm>
        <a:prstGeom prst="roundRect">
          <a:avLst/>
        </a:prstGeom>
        <a:ln>
          <a:solidFill>
            <a:srgbClr val="5A7E8C"/>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solidFill>
                <a:srgbClr val="5A7E8C"/>
              </a:solidFill>
            </a:rPr>
            <a:t>ANALYSIS: Purchase</a:t>
          </a:r>
          <a:r>
            <a:rPr lang="en-US" sz="1100" b="1" baseline="0">
              <a:solidFill>
                <a:srgbClr val="5A7E8C"/>
              </a:solidFill>
            </a:rPr>
            <a:t> Type by Amount</a:t>
          </a:r>
        </a:p>
        <a:p>
          <a:pPr algn="l"/>
          <a:r>
            <a:rPr lang="en-US" sz="1100" b="1" baseline="0">
              <a:solidFill>
                <a:srgbClr val="5A7E8C"/>
              </a:solidFill>
            </a:rPr>
            <a:t>Observations:</a:t>
          </a:r>
        </a:p>
        <a:p>
          <a:pPr algn="l"/>
          <a:endParaRPr lang="en-US" sz="1100" b="1" baseline="0">
            <a:solidFill>
              <a:srgbClr val="5A7E8C"/>
            </a:solidFill>
          </a:endParaRPr>
        </a:p>
        <a:p>
          <a:pPr algn="l"/>
          <a:endParaRPr lang="en-US" sz="1100" b="1" baseline="0">
            <a:solidFill>
              <a:srgbClr val="5A7E8C"/>
            </a:solidFill>
          </a:endParaRPr>
        </a:p>
        <a:p>
          <a:pPr algn="l"/>
          <a:r>
            <a:rPr lang="en-US" sz="1100" b="1" baseline="0">
              <a:solidFill>
                <a:srgbClr val="5A7E8C"/>
              </a:solidFill>
            </a:rPr>
            <a:t>Pre-Insights:</a:t>
          </a:r>
        </a:p>
        <a:p>
          <a:pPr algn="l"/>
          <a:endParaRPr lang="en-US" sz="1100" baseline="0">
            <a:solidFill>
              <a:srgbClr val="5A7E8C"/>
            </a:solidFill>
          </a:endParaRPr>
        </a:p>
      </xdr:txBody>
    </xdr:sp>
    <xdr:clientData/>
  </xdr:twoCellAnchor>
  <xdr:twoCellAnchor>
    <xdr:from>
      <xdr:col>10</xdr:col>
      <xdr:colOff>38685</xdr:colOff>
      <xdr:row>3</xdr:row>
      <xdr:rowOff>143301</xdr:rowOff>
    </xdr:from>
    <xdr:to>
      <xdr:col>14</xdr:col>
      <xdr:colOff>511791</xdr:colOff>
      <xdr:row>23</xdr:row>
      <xdr:rowOff>150125</xdr:rowOff>
    </xdr:to>
    <xdr:sp macro="" textlink="">
      <xdr:nvSpPr>
        <xdr:cNvPr id="4" name="Rectangle: Rounded Corners 3">
          <a:extLst>
            <a:ext uri="{FF2B5EF4-FFF2-40B4-BE49-F238E27FC236}">
              <a16:creationId xmlns:a16="http://schemas.microsoft.com/office/drawing/2014/main" id="{19D78FBA-8082-4A0C-9F61-70BB509C86DC}"/>
            </a:ext>
          </a:extLst>
        </xdr:cNvPr>
        <xdr:cNvSpPr/>
      </xdr:nvSpPr>
      <xdr:spPr>
        <a:xfrm>
          <a:off x="6043700" y="675564"/>
          <a:ext cx="2875112" cy="3555242"/>
        </a:xfrm>
        <a:prstGeom prst="roundRect">
          <a:avLst/>
        </a:prstGeom>
        <a:ln>
          <a:solidFill>
            <a:srgbClr val="5A7E8C"/>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US" sz="1100" b="1">
              <a:solidFill>
                <a:srgbClr val="5A7E8C"/>
              </a:solidFill>
              <a:effectLst/>
              <a:latin typeface="+mn-lt"/>
              <a:ea typeface="+mn-ea"/>
              <a:cs typeface="+mn-cs"/>
            </a:rPr>
            <a:t>ANALYSIS: Payment</a:t>
          </a:r>
          <a:r>
            <a:rPr lang="en-US" sz="1100" b="1" baseline="0">
              <a:solidFill>
                <a:srgbClr val="5A7E8C"/>
              </a:solidFill>
              <a:effectLst/>
              <a:latin typeface="+mn-lt"/>
              <a:ea typeface="+mn-ea"/>
              <a:cs typeface="+mn-cs"/>
            </a:rPr>
            <a:t> Method by Amount</a:t>
          </a:r>
          <a:endParaRPr lang="en-US">
            <a:solidFill>
              <a:srgbClr val="5A7E8C"/>
            </a:solidFill>
            <a:effectLst/>
          </a:endParaRPr>
        </a:p>
        <a:p>
          <a:r>
            <a:rPr lang="en-US" sz="1100" b="1" baseline="0">
              <a:solidFill>
                <a:srgbClr val="5A7E8C"/>
              </a:solidFill>
              <a:effectLst/>
              <a:latin typeface="+mn-lt"/>
              <a:ea typeface="+mn-ea"/>
              <a:cs typeface="+mn-cs"/>
            </a:rPr>
            <a:t>Observations:</a:t>
          </a:r>
        </a:p>
        <a:p>
          <a:endParaRPr lang="en-US">
            <a:solidFill>
              <a:srgbClr val="5A7E8C"/>
            </a:solidFill>
            <a:effectLst/>
          </a:endParaRPr>
        </a:p>
        <a:p>
          <a:endParaRPr lang="en-US">
            <a:solidFill>
              <a:srgbClr val="5A7E8C"/>
            </a:solidFill>
            <a:effectLst/>
          </a:endParaRPr>
        </a:p>
        <a:p>
          <a:r>
            <a:rPr lang="en-US" sz="1100" b="1" baseline="0">
              <a:solidFill>
                <a:srgbClr val="5A7E8C"/>
              </a:solidFill>
              <a:effectLst/>
              <a:latin typeface="+mn-lt"/>
              <a:ea typeface="+mn-ea"/>
              <a:cs typeface="+mn-cs"/>
            </a:rPr>
            <a:t>Pre-Insights:</a:t>
          </a:r>
          <a:endParaRPr lang="en-US">
            <a:solidFill>
              <a:srgbClr val="5A7E8C"/>
            </a:solidFill>
            <a:effectLst/>
          </a:endParaRPr>
        </a:p>
      </xdr:txBody>
    </xdr:sp>
    <xdr:clientData/>
  </xdr:twoCellAnchor>
  <xdr:twoCellAnchor>
    <xdr:from>
      <xdr:col>15</xdr:col>
      <xdr:colOff>34144</xdr:colOff>
      <xdr:row>3</xdr:row>
      <xdr:rowOff>143301</xdr:rowOff>
    </xdr:from>
    <xdr:to>
      <xdr:col>19</xdr:col>
      <xdr:colOff>341194</xdr:colOff>
      <xdr:row>23</xdr:row>
      <xdr:rowOff>95534</xdr:rowOff>
    </xdr:to>
    <xdr:sp macro="" textlink="">
      <xdr:nvSpPr>
        <xdr:cNvPr id="5" name="Rectangle: Rounded Corners 4">
          <a:extLst>
            <a:ext uri="{FF2B5EF4-FFF2-40B4-BE49-F238E27FC236}">
              <a16:creationId xmlns:a16="http://schemas.microsoft.com/office/drawing/2014/main" id="{E56D19DB-F9FE-45DC-A8EF-7F3768A64937}"/>
            </a:ext>
          </a:extLst>
        </xdr:cNvPr>
        <xdr:cNvSpPr/>
      </xdr:nvSpPr>
      <xdr:spPr>
        <a:xfrm>
          <a:off x="9041666" y="675564"/>
          <a:ext cx="2709056" cy="3500651"/>
        </a:xfrm>
        <a:prstGeom prst="roundRect">
          <a:avLst/>
        </a:prstGeom>
        <a:solidFill>
          <a:srgbClr val="5A7E8C"/>
        </a:solidFill>
        <a:ln>
          <a:solidFill>
            <a:srgbClr val="5A7E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chemeClr val="lt1"/>
              </a:solidFill>
              <a:effectLst/>
              <a:latin typeface="+mn-lt"/>
              <a:ea typeface="+mn-ea"/>
              <a:cs typeface="+mn-cs"/>
            </a:rPr>
            <a:t>ANALYSIS: </a:t>
          </a:r>
          <a:r>
            <a:rPr lang="en-US" sz="1100" b="1" baseline="0">
              <a:solidFill>
                <a:schemeClr val="lt1"/>
              </a:solidFill>
              <a:effectLst/>
              <a:latin typeface="+mn-lt"/>
              <a:ea typeface="+mn-ea"/>
              <a:cs typeface="+mn-cs"/>
            </a:rPr>
            <a:t> Product by Amount</a:t>
          </a:r>
          <a:endParaRPr lang="en-US">
            <a:effectLst/>
          </a:endParaRPr>
        </a:p>
        <a:p>
          <a:r>
            <a:rPr lang="en-US" sz="1100" b="1" baseline="0">
              <a:solidFill>
                <a:schemeClr val="lt1"/>
              </a:solidFill>
              <a:effectLst/>
              <a:latin typeface="+mn-lt"/>
              <a:ea typeface="+mn-ea"/>
              <a:cs typeface="+mn-cs"/>
            </a:rPr>
            <a:t>Observations:</a:t>
          </a:r>
        </a:p>
        <a:p>
          <a:endParaRPr lang="en-US" sz="1100" b="1" baseline="0">
            <a:solidFill>
              <a:schemeClr val="lt1"/>
            </a:solidFill>
            <a:effectLst/>
            <a:latin typeface="+mn-lt"/>
            <a:ea typeface="+mn-ea"/>
            <a:cs typeface="+mn-cs"/>
          </a:endParaRPr>
        </a:p>
        <a:p>
          <a:endParaRPr lang="en-US">
            <a:effectLst/>
          </a:endParaRPr>
        </a:p>
        <a:p>
          <a:r>
            <a:rPr lang="en-US" sz="1100" b="1" baseline="0">
              <a:solidFill>
                <a:schemeClr val="lt1"/>
              </a:solidFill>
              <a:effectLst/>
              <a:latin typeface="+mn-lt"/>
              <a:ea typeface="+mn-ea"/>
              <a:cs typeface="+mn-cs"/>
            </a:rPr>
            <a:t>Pre-Insights:</a:t>
          </a:r>
          <a:endParaRPr lang="en-US">
            <a:effectLst/>
          </a:endParaRPr>
        </a:p>
        <a:p>
          <a:pPr algn="l"/>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518614</xdr:colOff>
      <xdr:row>4</xdr:row>
      <xdr:rowOff>129653</xdr:rowOff>
    </xdr:from>
    <xdr:to>
      <xdr:col>9</xdr:col>
      <xdr:colOff>436729</xdr:colOff>
      <xdr:row>14</xdr:row>
      <xdr:rowOff>170596</xdr:rowOff>
    </xdr:to>
    <xdr:graphicFrame macro="">
      <xdr:nvGraphicFramePr>
        <xdr:cNvPr id="2" name="Chart 1">
          <a:extLst>
            <a:ext uri="{FF2B5EF4-FFF2-40B4-BE49-F238E27FC236}">
              <a16:creationId xmlns:a16="http://schemas.microsoft.com/office/drawing/2014/main" id="{EE93ECD6-C713-44B6-B350-283174A36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484495</xdr:colOff>
      <xdr:row>26</xdr:row>
      <xdr:rowOff>81887</xdr:rowOff>
    </xdr:from>
    <xdr:to>
      <xdr:col>18</xdr:col>
      <xdr:colOff>156957</xdr:colOff>
      <xdr:row>35</xdr:row>
      <xdr:rowOff>27293</xdr:rowOff>
    </xdr:to>
    <xdr:graphicFrame macro="">
      <xdr:nvGraphicFramePr>
        <xdr:cNvPr id="3" name="Chart 2">
          <a:extLst>
            <a:ext uri="{FF2B5EF4-FFF2-40B4-BE49-F238E27FC236}">
              <a16:creationId xmlns:a16="http://schemas.microsoft.com/office/drawing/2014/main" id="{B160F2FF-5E6F-4194-8201-2EC875CA0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498144</xdr:colOff>
      <xdr:row>26</xdr:row>
      <xdr:rowOff>68235</xdr:rowOff>
    </xdr:from>
    <xdr:to>
      <xdr:col>12</xdr:col>
      <xdr:colOff>409432</xdr:colOff>
      <xdr:row>35</xdr:row>
      <xdr:rowOff>40940</xdr:rowOff>
    </xdr:to>
    <xdr:graphicFrame macro="">
      <xdr:nvGraphicFramePr>
        <xdr:cNvPr id="4" name="Chart 3">
          <a:extLst>
            <a:ext uri="{FF2B5EF4-FFF2-40B4-BE49-F238E27FC236}">
              <a16:creationId xmlns:a16="http://schemas.microsoft.com/office/drawing/2014/main" id="{534BAAAF-60B3-4E9C-B44D-DFF0FD5DC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81889</xdr:colOff>
      <xdr:row>15</xdr:row>
      <xdr:rowOff>54591</xdr:rowOff>
    </xdr:from>
    <xdr:to>
      <xdr:col>18</xdr:col>
      <xdr:colOff>136480</xdr:colOff>
      <xdr:row>26</xdr:row>
      <xdr:rowOff>6824</xdr:rowOff>
    </xdr:to>
    <xdr:graphicFrame macro="">
      <xdr:nvGraphicFramePr>
        <xdr:cNvPr id="5" name="Chart 4">
          <a:extLst>
            <a:ext uri="{FF2B5EF4-FFF2-40B4-BE49-F238E27FC236}">
              <a16:creationId xmlns:a16="http://schemas.microsoft.com/office/drawing/2014/main" id="{4B8A4CB8-BCCB-470C-901A-A02502601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259308</xdr:colOff>
      <xdr:row>15</xdr:row>
      <xdr:rowOff>61414</xdr:rowOff>
    </xdr:from>
    <xdr:to>
      <xdr:col>14</xdr:col>
      <xdr:colOff>20475</xdr:colOff>
      <xdr:row>26</xdr:row>
      <xdr:rowOff>6823</xdr:rowOff>
    </xdr:to>
    <xdr:graphicFrame macro="">
      <xdr:nvGraphicFramePr>
        <xdr:cNvPr id="6" name="Chart 5">
          <a:extLst>
            <a:ext uri="{FF2B5EF4-FFF2-40B4-BE49-F238E27FC236}">
              <a16:creationId xmlns:a16="http://schemas.microsoft.com/office/drawing/2014/main" id="{AEFC0756-FE6C-451D-BCDE-E194A9AB6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504968</xdr:colOff>
      <xdr:row>4</xdr:row>
      <xdr:rowOff>116004</xdr:rowOff>
    </xdr:from>
    <xdr:to>
      <xdr:col>18</xdr:col>
      <xdr:colOff>143305</xdr:colOff>
      <xdr:row>14</xdr:row>
      <xdr:rowOff>156948</xdr:rowOff>
    </xdr:to>
    <xdr:graphicFrame macro="">
      <xdr:nvGraphicFramePr>
        <xdr:cNvPr id="7" name="Chart 6">
          <a:extLst>
            <a:ext uri="{FF2B5EF4-FFF2-40B4-BE49-F238E27FC236}">
              <a16:creationId xmlns:a16="http://schemas.microsoft.com/office/drawing/2014/main" id="{B1334EB3-1329-4CF1-A191-1650165E0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95531</xdr:colOff>
      <xdr:row>0</xdr:row>
      <xdr:rowOff>116006</xdr:rowOff>
    </xdr:from>
    <xdr:to>
      <xdr:col>18</xdr:col>
      <xdr:colOff>150125</xdr:colOff>
      <xdr:row>4</xdr:row>
      <xdr:rowOff>13647</xdr:rowOff>
    </xdr:to>
    <xdr:sp macro="" textlink="">
      <xdr:nvSpPr>
        <xdr:cNvPr id="10" name="Rectangle: Rounded Corners 9">
          <a:extLst>
            <a:ext uri="{FF2B5EF4-FFF2-40B4-BE49-F238E27FC236}">
              <a16:creationId xmlns:a16="http://schemas.microsoft.com/office/drawing/2014/main" id="{AEF3BD7B-D1D2-B918-E02F-E16CA6729ABE}"/>
            </a:ext>
          </a:extLst>
        </xdr:cNvPr>
        <xdr:cNvSpPr/>
      </xdr:nvSpPr>
      <xdr:spPr>
        <a:xfrm>
          <a:off x="95531" y="116006"/>
          <a:ext cx="10863621" cy="607325"/>
        </a:xfrm>
        <a:prstGeom prst="roundRect">
          <a:avLst/>
        </a:prstGeom>
        <a:solidFill>
          <a:srgbClr val="F5F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232011</xdr:colOff>
      <xdr:row>0</xdr:row>
      <xdr:rowOff>118280</xdr:rowOff>
    </xdr:from>
    <xdr:to>
      <xdr:col>20</xdr:col>
      <xdr:colOff>541359</xdr:colOff>
      <xdr:row>8</xdr:row>
      <xdr:rowOff>177420</xdr:rowOff>
    </xdr:to>
    <xdr:sp macro="" textlink="">
      <xdr:nvSpPr>
        <xdr:cNvPr id="11" name="Rectangle: Rounded Corners 10">
          <a:extLst>
            <a:ext uri="{FF2B5EF4-FFF2-40B4-BE49-F238E27FC236}">
              <a16:creationId xmlns:a16="http://schemas.microsoft.com/office/drawing/2014/main" id="{5A9F274A-C0BA-2BF7-CC97-511FB2F7852F}"/>
            </a:ext>
          </a:extLst>
        </xdr:cNvPr>
        <xdr:cNvSpPr/>
      </xdr:nvSpPr>
      <xdr:spPr>
        <a:xfrm>
          <a:off x="11041038" y="118280"/>
          <a:ext cx="1510351" cy="1478507"/>
        </a:xfrm>
        <a:prstGeom prst="roundRect">
          <a:avLst>
            <a:gd name="adj" fmla="val 10794"/>
          </a:avLst>
        </a:prstGeom>
        <a:solidFill>
          <a:srgbClr val="F5F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68237</xdr:colOff>
      <xdr:row>4</xdr:row>
      <xdr:rowOff>88708</xdr:rowOff>
    </xdr:from>
    <xdr:to>
      <xdr:col>2</xdr:col>
      <xdr:colOff>382137</xdr:colOff>
      <xdr:row>11</xdr:row>
      <xdr:rowOff>81885</xdr:rowOff>
    </xdr:to>
    <mc:AlternateContent xmlns:mc="http://schemas.openxmlformats.org/markup-compatibility/2006" xmlns:a14="http://schemas.microsoft.com/office/drawing/2010/main">
      <mc:Choice Requires="a14">
        <xdr:graphicFrame macro="">
          <xdr:nvGraphicFramePr>
            <xdr:cNvPr id="12" name="Purchase Type">
              <a:extLst>
                <a:ext uri="{FF2B5EF4-FFF2-40B4-BE49-F238E27FC236}">
                  <a16:creationId xmlns:a16="http://schemas.microsoft.com/office/drawing/2014/main" id="{AD3A91F2-2268-FB01-545F-FECBE8A15E02}"/>
                </a:ext>
              </a:extLst>
            </xdr:cNvPr>
            <xdr:cNvGraphicFramePr/>
          </xdr:nvGraphicFramePr>
          <xdr:xfrm>
            <a:off x="0" y="0"/>
            <a:ext cx="0" cy="0"/>
          </xdr:xfrm>
          <a:graphic>
            <a:graphicData uri="http://schemas.microsoft.com/office/drawing/2010/slicer">
              <sle:slicer xmlns:sle="http://schemas.microsoft.com/office/drawing/2010/slicer" name="Purchase Type"/>
            </a:graphicData>
          </a:graphic>
        </xdr:graphicFrame>
      </mc:Choice>
      <mc:Fallback xmlns="">
        <xdr:sp macro="" textlink="">
          <xdr:nvSpPr>
            <xdr:cNvPr id="0" name=""/>
            <xdr:cNvSpPr>
              <a:spLocks noTextEdit="1"/>
            </xdr:cNvSpPr>
          </xdr:nvSpPr>
          <xdr:spPr>
            <a:xfrm>
              <a:off x="68237" y="798392"/>
              <a:ext cx="1514903" cy="12351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498143</xdr:colOff>
      <xdr:row>15</xdr:row>
      <xdr:rowOff>61414</xdr:rowOff>
    </xdr:from>
    <xdr:to>
      <xdr:col>8</xdr:col>
      <xdr:colOff>197892</xdr:colOff>
      <xdr:row>25</xdr:row>
      <xdr:rowOff>170596</xdr:rowOff>
    </xdr:to>
    <xdr:graphicFrame macro="">
      <xdr:nvGraphicFramePr>
        <xdr:cNvPr id="13" name="Chart 12">
          <a:extLst>
            <a:ext uri="{FF2B5EF4-FFF2-40B4-BE49-F238E27FC236}">
              <a16:creationId xmlns:a16="http://schemas.microsoft.com/office/drawing/2014/main" id="{101088FC-44A2-4165-BDD3-9989D6125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95534</xdr:colOff>
      <xdr:row>11</xdr:row>
      <xdr:rowOff>13646</xdr:rowOff>
    </xdr:from>
    <xdr:to>
      <xdr:col>2</xdr:col>
      <xdr:colOff>402609</xdr:colOff>
      <xdr:row>20</xdr:row>
      <xdr:rowOff>150124</xdr:rowOff>
    </xdr:to>
    <mc:AlternateContent xmlns:mc="http://schemas.openxmlformats.org/markup-compatibility/2006" xmlns:a14="http://schemas.microsoft.com/office/drawing/2010/main">
      <mc:Choice Requires="a14">
        <xdr:graphicFrame macro="">
          <xdr:nvGraphicFramePr>
            <xdr:cNvPr id="8" name="Manager">
              <a:extLst>
                <a:ext uri="{FF2B5EF4-FFF2-40B4-BE49-F238E27FC236}">
                  <a16:creationId xmlns:a16="http://schemas.microsoft.com/office/drawing/2014/main" id="{CCF3A239-D96D-DB04-B862-5244F0E83C0C}"/>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95534" y="1965276"/>
              <a:ext cx="1508078" cy="1733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109180</xdr:colOff>
      <xdr:row>20</xdr:row>
      <xdr:rowOff>95534</xdr:rowOff>
    </xdr:from>
    <xdr:to>
      <xdr:col>2</xdr:col>
      <xdr:colOff>395784</xdr:colOff>
      <xdr:row>30</xdr:row>
      <xdr:rowOff>75063</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7491C838-A0FA-AFD5-D811-2197BB80671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9180" y="3643952"/>
              <a:ext cx="1487607" cy="1753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116006</xdr:colOff>
      <xdr:row>29</xdr:row>
      <xdr:rowOff>163772</xdr:rowOff>
    </xdr:from>
    <xdr:to>
      <xdr:col>2</xdr:col>
      <xdr:colOff>382137</xdr:colOff>
      <xdr:row>35</xdr:row>
      <xdr:rowOff>27295</xdr:rowOff>
    </xdr:to>
    <mc:AlternateContent xmlns:mc="http://schemas.openxmlformats.org/markup-compatibility/2006" xmlns:a14="http://schemas.microsoft.com/office/drawing/2010/main">
      <mc:Choice Requires="a14">
        <xdr:graphicFrame macro="">
          <xdr:nvGraphicFramePr>
            <xdr:cNvPr id="14" name="Months">
              <a:extLst>
                <a:ext uri="{FF2B5EF4-FFF2-40B4-BE49-F238E27FC236}">
                  <a16:creationId xmlns:a16="http://schemas.microsoft.com/office/drawing/2014/main" id="{0B9A69E5-5D4F-BEE8-15CD-D82BF528A308}"/>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16006" y="5308978"/>
              <a:ext cx="1467134" cy="928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241107</xdr:colOff>
      <xdr:row>9</xdr:row>
      <xdr:rowOff>88712</xdr:rowOff>
    </xdr:from>
    <xdr:to>
      <xdr:col>20</xdr:col>
      <xdr:colOff>550455</xdr:colOff>
      <xdr:row>17</xdr:row>
      <xdr:rowOff>88713</xdr:rowOff>
    </xdr:to>
    <xdr:sp macro="" textlink="">
      <xdr:nvSpPr>
        <xdr:cNvPr id="25" name="Rectangle: Rounded Corners 24">
          <a:extLst>
            <a:ext uri="{FF2B5EF4-FFF2-40B4-BE49-F238E27FC236}">
              <a16:creationId xmlns:a16="http://schemas.microsoft.com/office/drawing/2014/main" id="{32197FC3-E85E-2874-123B-87353C1D7F68}"/>
            </a:ext>
          </a:extLst>
        </xdr:cNvPr>
        <xdr:cNvSpPr/>
      </xdr:nvSpPr>
      <xdr:spPr>
        <a:xfrm>
          <a:off x="11050134" y="1685500"/>
          <a:ext cx="1510351" cy="1419368"/>
        </a:xfrm>
        <a:prstGeom prst="roundRect">
          <a:avLst>
            <a:gd name="adj" fmla="val 10794"/>
          </a:avLst>
        </a:prstGeom>
        <a:solidFill>
          <a:srgbClr val="F5F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250203</xdr:colOff>
      <xdr:row>18</xdr:row>
      <xdr:rowOff>27296</xdr:rowOff>
    </xdr:from>
    <xdr:to>
      <xdr:col>20</xdr:col>
      <xdr:colOff>559551</xdr:colOff>
      <xdr:row>26</xdr:row>
      <xdr:rowOff>102356</xdr:rowOff>
    </xdr:to>
    <xdr:sp macro="" textlink="">
      <xdr:nvSpPr>
        <xdr:cNvPr id="26" name="Rectangle: Rounded Corners 25">
          <a:extLst>
            <a:ext uri="{FF2B5EF4-FFF2-40B4-BE49-F238E27FC236}">
              <a16:creationId xmlns:a16="http://schemas.microsoft.com/office/drawing/2014/main" id="{8F3396D7-170B-F835-9F91-BF3B2AD74599}"/>
            </a:ext>
          </a:extLst>
        </xdr:cNvPr>
        <xdr:cNvSpPr/>
      </xdr:nvSpPr>
      <xdr:spPr>
        <a:xfrm>
          <a:off x="11059230" y="3220872"/>
          <a:ext cx="1510351" cy="1494427"/>
        </a:xfrm>
        <a:prstGeom prst="roundRect">
          <a:avLst>
            <a:gd name="adj" fmla="val 10794"/>
          </a:avLst>
        </a:prstGeom>
        <a:solidFill>
          <a:srgbClr val="F5F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259299</xdr:colOff>
      <xdr:row>27</xdr:row>
      <xdr:rowOff>20473</xdr:rowOff>
    </xdr:from>
    <xdr:to>
      <xdr:col>20</xdr:col>
      <xdr:colOff>568647</xdr:colOff>
      <xdr:row>35</xdr:row>
      <xdr:rowOff>34120</xdr:rowOff>
    </xdr:to>
    <xdr:sp macro="" textlink="">
      <xdr:nvSpPr>
        <xdr:cNvPr id="27" name="Rectangle: Rounded Corners 26">
          <a:extLst>
            <a:ext uri="{FF2B5EF4-FFF2-40B4-BE49-F238E27FC236}">
              <a16:creationId xmlns:a16="http://schemas.microsoft.com/office/drawing/2014/main" id="{21537DE2-B08F-BBC0-106E-681E41C0075E}"/>
            </a:ext>
          </a:extLst>
        </xdr:cNvPr>
        <xdr:cNvSpPr/>
      </xdr:nvSpPr>
      <xdr:spPr>
        <a:xfrm>
          <a:off x="11068326" y="4810837"/>
          <a:ext cx="1510351" cy="1433014"/>
        </a:xfrm>
        <a:prstGeom prst="roundRect">
          <a:avLst>
            <a:gd name="adj" fmla="val 10794"/>
          </a:avLst>
        </a:prstGeom>
        <a:solidFill>
          <a:srgbClr val="F5F8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348018</xdr:colOff>
      <xdr:row>2</xdr:row>
      <xdr:rowOff>143305</xdr:rowOff>
    </xdr:from>
    <xdr:to>
      <xdr:col>20</xdr:col>
      <xdr:colOff>429904</xdr:colOff>
      <xdr:row>5</xdr:row>
      <xdr:rowOff>34124</xdr:rowOff>
    </xdr:to>
    <xdr:sp macro="" textlink="">
      <xdr:nvSpPr>
        <xdr:cNvPr id="28" name="TextBox 27">
          <a:extLst>
            <a:ext uri="{FF2B5EF4-FFF2-40B4-BE49-F238E27FC236}">
              <a16:creationId xmlns:a16="http://schemas.microsoft.com/office/drawing/2014/main" id="{4B9EF653-8F8E-CE2D-F9D8-9D538800C62C}"/>
            </a:ext>
          </a:extLst>
        </xdr:cNvPr>
        <xdr:cNvSpPr txBox="1"/>
      </xdr:nvSpPr>
      <xdr:spPr>
        <a:xfrm>
          <a:off x="11157045" y="498147"/>
          <a:ext cx="1282889" cy="423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5A7E8C"/>
              </a:solidFill>
            </a:rPr>
            <a:t>Total Revenue</a:t>
          </a:r>
        </a:p>
      </xdr:txBody>
    </xdr:sp>
    <xdr:clientData/>
  </xdr:twoCellAnchor>
  <xdr:twoCellAnchor>
    <xdr:from>
      <xdr:col>18</xdr:col>
      <xdr:colOff>343466</xdr:colOff>
      <xdr:row>12</xdr:row>
      <xdr:rowOff>70522</xdr:rowOff>
    </xdr:from>
    <xdr:to>
      <xdr:col>20</xdr:col>
      <xdr:colOff>425352</xdr:colOff>
      <xdr:row>14</xdr:row>
      <xdr:rowOff>138761</xdr:rowOff>
    </xdr:to>
    <xdr:sp macro="" textlink="">
      <xdr:nvSpPr>
        <xdr:cNvPr id="29" name="TextBox 28">
          <a:extLst>
            <a:ext uri="{FF2B5EF4-FFF2-40B4-BE49-F238E27FC236}">
              <a16:creationId xmlns:a16="http://schemas.microsoft.com/office/drawing/2014/main" id="{F6284AC5-6337-2E7E-0217-D90E7964429E}"/>
            </a:ext>
          </a:extLst>
        </xdr:cNvPr>
        <xdr:cNvSpPr txBox="1"/>
      </xdr:nvSpPr>
      <xdr:spPr>
        <a:xfrm>
          <a:off x="11152493" y="2199573"/>
          <a:ext cx="1282889" cy="423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5A7E8C"/>
              </a:solidFill>
            </a:rPr>
            <a:t>Top City</a:t>
          </a:r>
        </a:p>
      </xdr:txBody>
    </xdr:sp>
    <xdr:clientData/>
  </xdr:twoCellAnchor>
  <xdr:twoCellAnchor>
    <xdr:from>
      <xdr:col>18</xdr:col>
      <xdr:colOff>338914</xdr:colOff>
      <xdr:row>20</xdr:row>
      <xdr:rowOff>47767</xdr:rowOff>
    </xdr:from>
    <xdr:to>
      <xdr:col>20</xdr:col>
      <xdr:colOff>420800</xdr:colOff>
      <xdr:row>24</xdr:row>
      <xdr:rowOff>170597</xdr:rowOff>
    </xdr:to>
    <xdr:sp macro="" textlink="">
      <xdr:nvSpPr>
        <xdr:cNvPr id="30" name="TextBox 29">
          <a:extLst>
            <a:ext uri="{FF2B5EF4-FFF2-40B4-BE49-F238E27FC236}">
              <a16:creationId xmlns:a16="http://schemas.microsoft.com/office/drawing/2014/main" id="{FC8E4646-7226-6ACF-3AB5-AB231F2ADDFB}"/>
            </a:ext>
          </a:extLst>
        </xdr:cNvPr>
        <xdr:cNvSpPr txBox="1"/>
      </xdr:nvSpPr>
      <xdr:spPr>
        <a:xfrm>
          <a:off x="11147941" y="3596185"/>
          <a:ext cx="1282889" cy="832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5A7E8C"/>
              </a:solidFill>
            </a:rPr>
            <a:t>Best</a:t>
          </a:r>
          <a:r>
            <a:rPr lang="en-US" sz="1400" baseline="0">
              <a:solidFill>
                <a:srgbClr val="5A7E8C"/>
              </a:solidFill>
            </a:rPr>
            <a:t> Performing Manager</a:t>
          </a:r>
          <a:endParaRPr lang="en-US" sz="1400">
            <a:solidFill>
              <a:srgbClr val="5A7E8C"/>
            </a:solidFill>
          </a:endParaRPr>
        </a:p>
      </xdr:txBody>
    </xdr:sp>
    <xdr:clientData/>
  </xdr:twoCellAnchor>
  <xdr:twoCellAnchor>
    <xdr:from>
      <xdr:col>18</xdr:col>
      <xdr:colOff>334362</xdr:colOff>
      <xdr:row>29</xdr:row>
      <xdr:rowOff>47779</xdr:rowOff>
    </xdr:from>
    <xdr:to>
      <xdr:col>20</xdr:col>
      <xdr:colOff>416248</xdr:colOff>
      <xdr:row>32</xdr:row>
      <xdr:rowOff>102360</xdr:rowOff>
    </xdr:to>
    <xdr:sp macro="" textlink="">
      <xdr:nvSpPr>
        <xdr:cNvPr id="31" name="TextBox 30">
          <a:extLst>
            <a:ext uri="{FF2B5EF4-FFF2-40B4-BE49-F238E27FC236}">
              <a16:creationId xmlns:a16="http://schemas.microsoft.com/office/drawing/2014/main" id="{ED53D04F-1631-9E64-A8C3-E83BCD804AAD}"/>
            </a:ext>
          </a:extLst>
        </xdr:cNvPr>
        <xdr:cNvSpPr txBox="1"/>
      </xdr:nvSpPr>
      <xdr:spPr>
        <a:xfrm>
          <a:off x="11143389" y="5192985"/>
          <a:ext cx="1282889" cy="586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5A7E8C"/>
              </a:solidFill>
            </a:rPr>
            <a:t>Top Performing</a:t>
          </a:r>
          <a:r>
            <a:rPr lang="en-US" sz="1400" baseline="0">
              <a:solidFill>
                <a:srgbClr val="5A7E8C"/>
              </a:solidFill>
            </a:rPr>
            <a:t> Product</a:t>
          </a:r>
          <a:endParaRPr lang="en-US" sz="1400">
            <a:solidFill>
              <a:srgbClr val="5A7E8C"/>
            </a:solidFill>
          </a:endParaRPr>
        </a:p>
      </xdr:txBody>
    </xdr:sp>
    <xdr:clientData/>
  </xdr:twoCellAnchor>
  <xdr:twoCellAnchor>
    <xdr:from>
      <xdr:col>18</xdr:col>
      <xdr:colOff>350290</xdr:colOff>
      <xdr:row>4</xdr:row>
      <xdr:rowOff>125111</xdr:rowOff>
    </xdr:from>
    <xdr:to>
      <xdr:col>20</xdr:col>
      <xdr:colOff>432176</xdr:colOff>
      <xdr:row>7</xdr:row>
      <xdr:rowOff>15930</xdr:rowOff>
    </xdr:to>
    <xdr:sp macro="" textlink="">
      <xdr:nvSpPr>
        <xdr:cNvPr id="32" name="TextBox 31">
          <a:extLst>
            <a:ext uri="{FF2B5EF4-FFF2-40B4-BE49-F238E27FC236}">
              <a16:creationId xmlns:a16="http://schemas.microsoft.com/office/drawing/2014/main" id="{55336336-4867-5CD8-546C-536AE184D336}"/>
            </a:ext>
          </a:extLst>
        </xdr:cNvPr>
        <xdr:cNvSpPr txBox="1"/>
      </xdr:nvSpPr>
      <xdr:spPr>
        <a:xfrm>
          <a:off x="11159317" y="834795"/>
          <a:ext cx="1282889" cy="423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5A7E8C"/>
              </a:solidFill>
            </a:rPr>
            <a:t>$769,515.86</a:t>
          </a:r>
        </a:p>
      </xdr:txBody>
    </xdr:sp>
    <xdr:clientData/>
  </xdr:twoCellAnchor>
  <xdr:twoCellAnchor>
    <xdr:from>
      <xdr:col>18</xdr:col>
      <xdr:colOff>359386</xdr:colOff>
      <xdr:row>14</xdr:row>
      <xdr:rowOff>86452</xdr:rowOff>
    </xdr:from>
    <xdr:to>
      <xdr:col>20</xdr:col>
      <xdr:colOff>441272</xdr:colOff>
      <xdr:row>16</xdr:row>
      <xdr:rowOff>154692</xdr:rowOff>
    </xdr:to>
    <xdr:sp macro="" textlink="">
      <xdr:nvSpPr>
        <xdr:cNvPr id="33" name="TextBox 32">
          <a:extLst>
            <a:ext uri="{FF2B5EF4-FFF2-40B4-BE49-F238E27FC236}">
              <a16:creationId xmlns:a16="http://schemas.microsoft.com/office/drawing/2014/main" id="{F359BE39-DBE4-2114-9187-EED3C635306D}"/>
            </a:ext>
          </a:extLst>
        </xdr:cNvPr>
        <xdr:cNvSpPr txBox="1"/>
      </xdr:nvSpPr>
      <xdr:spPr>
        <a:xfrm>
          <a:off x="11168413" y="2570345"/>
          <a:ext cx="1282889" cy="423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5A7E8C"/>
              </a:solidFill>
            </a:rPr>
            <a:t>Lisbon</a:t>
          </a:r>
        </a:p>
      </xdr:txBody>
    </xdr:sp>
    <xdr:clientData/>
  </xdr:twoCellAnchor>
  <xdr:twoCellAnchor>
    <xdr:from>
      <xdr:col>18</xdr:col>
      <xdr:colOff>368482</xdr:colOff>
      <xdr:row>24</xdr:row>
      <xdr:rowOff>47794</xdr:rowOff>
    </xdr:from>
    <xdr:to>
      <xdr:col>20</xdr:col>
      <xdr:colOff>450368</xdr:colOff>
      <xdr:row>26</xdr:row>
      <xdr:rowOff>116033</xdr:rowOff>
    </xdr:to>
    <xdr:sp macro="" textlink="">
      <xdr:nvSpPr>
        <xdr:cNvPr id="34" name="TextBox 33">
          <a:extLst>
            <a:ext uri="{FF2B5EF4-FFF2-40B4-BE49-F238E27FC236}">
              <a16:creationId xmlns:a16="http://schemas.microsoft.com/office/drawing/2014/main" id="{236B7E1D-BB62-EC5A-334A-B4A97C690568}"/>
            </a:ext>
          </a:extLst>
        </xdr:cNvPr>
        <xdr:cNvSpPr txBox="1"/>
      </xdr:nvSpPr>
      <xdr:spPr>
        <a:xfrm>
          <a:off x="11177509" y="4305895"/>
          <a:ext cx="1282889" cy="423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5A7E8C"/>
              </a:solidFill>
            </a:rPr>
            <a:t>Joao Silva</a:t>
          </a:r>
        </a:p>
      </xdr:txBody>
    </xdr:sp>
    <xdr:clientData/>
  </xdr:twoCellAnchor>
  <xdr:twoCellAnchor>
    <xdr:from>
      <xdr:col>18</xdr:col>
      <xdr:colOff>377578</xdr:colOff>
      <xdr:row>32</xdr:row>
      <xdr:rowOff>63720</xdr:rowOff>
    </xdr:from>
    <xdr:to>
      <xdr:col>20</xdr:col>
      <xdr:colOff>459464</xdr:colOff>
      <xdr:row>34</xdr:row>
      <xdr:rowOff>131960</xdr:rowOff>
    </xdr:to>
    <xdr:sp macro="" textlink="">
      <xdr:nvSpPr>
        <xdr:cNvPr id="35" name="TextBox 34">
          <a:extLst>
            <a:ext uri="{FF2B5EF4-FFF2-40B4-BE49-F238E27FC236}">
              <a16:creationId xmlns:a16="http://schemas.microsoft.com/office/drawing/2014/main" id="{4538531B-2A68-872B-E918-0157EAA381A7}"/>
            </a:ext>
          </a:extLst>
        </xdr:cNvPr>
        <xdr:cNvSpPr txBox="1"/>
      </xdr:nvSpPr>
      <xdr:spPr>
        <a:xfrm>
          <a:off x="11186605" y="5741189"/>
          <a:ext cx="1282889" cy="423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5A7E8C"/>
              </a:solidFill>
            </a:rPr>
            <a:t>Burgers</a:t>
          </a:r>
        </a:p>
      </xdr:txBody>
    </xdr:sp>
    <xdr:clientData/>
  </xdr:twoCellAnchor>
  <xdr:twoCellAnchor>
    <xdr:from>
      <xdr:col>3</xdr:col>
      <xdr:colOff>95537</xdr:colOff>
      <xdr:row>1</xdr:row>
      <xdr:rowOff>11380</xdr:rowOff>
    </xdr:from>
    <xdr:to>
      <xdr:col>15</xdr:col>
      <xdr:colOff>327549</xdr:colOff>
      <xdr:row>3</xdr:row>
      <xdr:rowOff>79619</xdr:rowOff>
    </xdr:to>
    <xdr:sp macro="" textlink="">
      <xdr:nvSpPr>
        <xdr:cNvPr id="36" name="TextBox 35">
          <a:extLst>
            <a:ext uri="{FF2B5EF4-FFF2-40B4-BE49-F238E27FC236}">
              <a16:creationId xmlns:a16="http://schemas.microsoft.com/office/drawing/2014/main" id="{6C242BE5-B4C2-C262-9470-352DF0A7A699}"/>
            </a:ext>
          </a:extLst>
        </xdr:cNvPr>
        <xdr:cNvSpPr txBox="1"/>
      </xdr:nvSpPr>
      <xdr:spPr>
        <a:xfrm>
          <a:off x="1897041" y="188801"/>
          <a:ext cx="7438030" cy="423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5A7E8C"/>
              </a:solidFill>
            </a:rPr>
            <a:t>Savory Bites' End-of-Year</a:t>
          </a:r>
          <a:r>
            <a:rPr lang="en-US" sz="2400" b="1" baseline="0">
              <a:solidFill>
                <a:srgbClr val="5A7E8C"/>
              </a:solidFill>
            </a:rPr>
            <a:t> Sales Report (Nov-Dec 2022)</a:t>
          </a:r>
          <a:endParaRPr lang="en-US" sz="2400" b="1">
            <a:solidFill>
              <a:srgbClr val="5A7E8C"/>
            </a:solidFill>
          </a:endParaRPr>
        </a:p>
      </xdr:txBody>
    </xdr:sp>
    <xdr:clientData/>
  </xdr:twoCellAnchor>
  <xdr:twoCellAnchor editAs="oneCell">
    <xdr:from>
      <xdr:col>19</xdr:col>
      <xdr:colOff>122833</xdr:colOff>
      <xdr:row>27</xdr:row>
      <xdr:rowOff>27295</xdr:rowOff>
    </xdr:from>
    <xdr:to>
      <xdr:col>20</xdr:col>
      <xdr:colOff>62331</xdr:colOff>
      <xdr:row>30</xdr:row>
      <xdr:rowOff>35032</xdr:rowOff>
    </xdr:to>
    <xdr:pic>
      <xdr:nvPicPr>
        <xdr:cNvPr id="38" name="Graphic 37" descr="Ribbon with solid fill">
          <a:extLst>
            <a:ext uri="{FF2B5EF4-FFF2-40B4-BE49-F238E27FC236}">
              <a16:creationId xmlns:a16="http://schemas.microsoft.com/office/drawing/2014/main" id="{7C99CCDD-5703-9438-5316-3081E9DFCC8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532361" y="4817659"/>
          <a:ext cx="540000" cy="540000"/>
        </a:xfrm>
        <a:prstGeom prst="rect">
          <a:avLst/>
        </a:prstGeom>
      </xdr:spPr>
    </xdr:pic>
    <xdr:clientData/>
  </xdr:twoCellAnchor>
  <xdr:twoCellAnchor editAs="oneCell">
    <xdr:from>
      <xdr:col>19</xdr:col>
      <xdr:colOff>143296</xdr:colOff>
      <xdr:row>0</xdr:row>
      <xdr:rowOff>75047</xdr:rowOff>
    </xdr:from>
    <xdr:to>
      <xdr:col>20</xdr:col>
      <xdr:colOff>82794</xdr:colOff>
      <xdr:row>3</xdr:row>
      <xdr:rowOff>82784</xdr:rowOff>
    </xdr:to>
    <xdr:pic>
      <xdr:nvPicPr>
        <xdr:cNvPr id="40" name="Graphic 39" descr="Money with solid fill">
          <a:extLst>
            <a:ext uri="{FF2B5EF4-FFF2-40B4-BE49-F238E27FC236}">
              <a16:creationId xmlns:a16="http://schemas.microsoft.com/office/drawing/2014/main" id="{DF31BEF2-D9EF-FC9B-81D2-E5996D23051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552824" y="75047"/>
          <a:ext cx="540000" cy="540000"/>
        </a:xfrm>
        <a:prstGeom prst="rect">
          <a:avLst/>
        </a:prstGeom>
      </xdr:spPr>
    </xdr:pic>
    <xdr:clientData/>
  </xdr:twoCellAnchor>
  <xdr:twoCellAnchor editAs="oneCell">
    <xdr:from>
      <xdr:col>19</xdr:col>
      <xdr:colOff>88702</xdr:colOff>
      <xdr:row>9</xdr:row>
      <xdr:rowOff>156937</xdr:rowOff>
    </xdr:from>
    <xdr:to>
      <xdr:col>20</xdr:col>
      <xdr:colOff>28200</xdr:colOff>
      <xdr:row>12</xdr:row>
      <xdr:rowOff>164674</xdr:rowOff>
    </xdr:to>
    <xdr:pic>
      <xdr:nvPicPr>
        <xdr:cNvPr id="44" name="Graphic 43" descr="City with solid fill">
          <a:extLst>
            <a:ext uri="{FF2B5EF4-FFF2-40B4-BE49-F238E27FC236}">
              <a16:creationId xmlns:a16="http://schemas.microsoft.com/office/drawing/2014/main" id="{9DD6FAAE-9A97-3B11-A3D0-BA84B3BD100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498230" y="1753725"/>
          <a:ext cx="540000" cy="540000"/>
        </a:xfrm>
        <a:prstGeom prst="rect">
          <a:avLst/>
        </a:prstGeom>
      </xdr:spPr>
    </xdr:pic>
    <xdr:clientData/>
  </xdr:twoCellAnchor>
  <xdr:twoCellAnchor editAs="oneCell">
    <xdr:from>
      <xdr:col>19</xdr:col>
      <xdr:colOff>109183</xdr:colOff>
      <xdr:row>18</xdr:row>
      <xdr:rowOff>34120</xdr:rowOff>
    </xdr:from>
    <xdr:to>
      <xdr:col>20</xdr:col>
      <xdr:colOff>48681</xdr:colOff>
      <xdr:row>21</xdr:row>
      <xdr:rowOff>41857</xdr:rowOff>
    </xdr:to>
    <xdr:pic>
      <xdr:nvPicPr>
        <xdr:cNvPr id="46" name="Graphic 45" descr="Medal with solid fill">
          <a:extLst>
            <a:ext uri="{FF2B5EF4-FFF2-40B4-BE49-F238E27FC236}">
              <a16:creationId xmlns:a16="http://schemas.microsoft.com/office/drawing/2014/main" id="{01D72A0B-C94E-B7AA-9E74-4B804E9659C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518711" y="3227696"/>
          <a:ext cx="540000" cy="540000"/>
        </a:xfrm>
        <a:prstGeom prst="rect">
          <a:avLst/>
        </a:prstGeom>
      </xdr:spPr>
    </xdr:pic>
    <xdr:clientData/>
  </xdr:twoCellAnchor>
  <xdr:twoCellAnchor>
    <xdr:from>
      <xdr:col>19</xdr:col>
      <xdr:colOff>150125</xdr:colOff>
      <xdr:row>35</xdr:row>
      <xdr:rowOff>13648</xdr:rowOff>
    </xdr:from>
    <xdr:to>
      <xdr:col>20</xdr:col>
      <xdr:colOff>376361</xdr:colOff>
      <xdr:row>36</xdr:row>
      <xdr:rowOff>19952</xdr:rowOff>
    </xdr:to>
    <xdr:sp macro="" textlink="">
      <xdr:nvSpPr>
        <xdr:cNvPr id="15" name="TextBox 14">
          <a:extLst>
            <a:ext uri="{FF2B5EF4-FFF2-40B4-BE49-F238E27FC236}">
              <a16:creationId xmlns:a16="http://schemas.microsoft.com/office/drawing/2014/main" id="{36E84352-88A6-4685-84DB-9891B9A117A7}"/>
            </a:ext>
          </a:extLst>
        </xdr:cNvPr>
        <xdr:cNvSpPr txBox="1"/>
      </xdr:nvSpPr>
      <xdr:spPr>
        <a:xfrm>
          <a:off x="11559653" y="6223379"/>
          <a:ext cx="826738" cy="183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00">
              <a:solidFill>
                <a:srgbClr val="9FB6BF"/>
              </a:solidFill>
              <a:latin typeface="Baguet Script" panose="00000500000000000000" pitchFamily="2" charset="0"/>
            </a:rPr>
            <a:t>By Nenalytiq Rose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266125</xdr:colOff>
      <xdr:row>0</xdr:row>
      <xdr:rowOff>68240</xdr:rowOff>
    </xdr:from>
    <xdr:to>
      <xdr:col>6</xdr:col>
      <xdr:colOff>81887</xdr:colOff>
      <xdr:row>26</xdr:row>
      <xdr:rowOff>150127</xdr:rowOff>
    </xdr:to>
    <xdr:sp macro="" textlink="">
      <xdr:nvSpPr>
        <xdr:cNvPr id="2" name="Rectangle: Rounded Corners 1">
          <a:extLst>
            <a:ext uri="{FF2B5EF4-FFF2-40B4-BE49-F238E27FC236}">
              <a16:creationId xmlns:a16="http://schemas.microsoft.com/office/drawing/2014/main" id="{8D4E93E5-5986-43FE-A0CA-EE0551FCE324}"/>
            </a:ext>
          </a:extLst>
        </xdr:cNvPr>
        <xdr:cNvSpPr/>
      </xdr:nvSpPr>
      <xdr:spPr>
        <a:xfrm>
          <a:off x="266125" y="68240"/>
          <a:ext cx="3418771" cy="4694830"/>
        </a:xfrm>
        <a:prstGeom prst="roundRect">
          <a:avLst/>
        </a:prstGeom>
        <a:solidFill>
          <a:srgbClr val="5A7E8C"/>
        </a:solidFill>
        <a:ln>
          <a:solidFill>
            <a:srgbClr val="5A7E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OBSERVATIONS based on Managers' performance</a:t>
          </a:r>
        </a:p>
        <a:p>
          <a:pPr algn="l"/>
          <a:endParaRPr lang="en-US" sz="1100" b="1">
            <a:solidFill>
              <a:schemeClr val="bg1"/>
            </a:solidFill>
          </a:endParaRPr>
        </a:p>
        <a:p>
          <a:pPr algn="l"/>
          <a:r>
            <a:rPr lang="en-US" sz="1100" b="0">
              <a:solidFill>
                <a:schemeClr val="bg1"/>
              </a:solidFill>
            </a:rPr>
            <a:t>-</a:t>
          </a:r>
          <a:r>
            <a:rPr lang="en-US" sz="1100" b="0" baseline="0">
              <a:solidFill>
                <a:schemeClr val="bg1"/>
              </a:solidFill>
            </a:rPr>
            <a:t> Joao Silva manages the products in Lisbon, highest product sold is burgers, best payment type is cash and least is credit card, More products are sold in-store and least drive-thru, Sales are mostly made on Sundays, </a:t>
          </a:r>
          <a:r>
            <a:rPr lang="en-US">
              <a:effectLst/>
            </a:rPr>
            <a:t>76.37% </a:t>
          </a:r>
          <a:r>
            <a:rPr lang="en-US" sz="1100" b="0" baseline="0">
              <a:solidFill>
                <a:schemeClr val="bg1"/>
              </a:solidFill>
            </a:rPr>
            <a:t>sales are made in December and the total revenue generated was </a:t>
          </a:r>
          <a:r>
            <a:rPr lang="en-US">
              <a:effectLst/>
            </a:rPr>
            <a:t>$241,714.12.</a:t>
          </a:r>
        </a:p>
        <a:p>
          <a:pPr algn="l"/>
          <a:r>
            <a:rPr lang="en-US" sz="1100" b="0">
              <a:solidFill>
                <a:schemeClr val="bg1"/>
              </a:solidFill>
              <a:effectLst/>
            </a:rPr>
            <a:t>- Pablo</a:t>
          </a:r>
          <a:r>
            <a:rPr lang="en-US" sz="1100" b="0" baseline="0">
              <a:solidFill>
                <a:schemeClr val="bg1"/>
              </a:solidFill>
              <a:effectLst/>
            </a:rPr>
            <a:t> Perez located in Madrid, best selling product is Burgers, best payment type is credit card and the least is Cash, more sales are made in-store and least online, sales are mostly made on Thursdays, and 100% of sales were made in November as a total revenue of </a:t>
          </a:r>
          <a:r>
            <a:rPr lang="en-US">
              <a:effectLst/>
            </a:rPr>
            <a:t>$136,200.27 was generated.</a:t>
          </a:r>
        </a:p>
        <a:p>
          <a:pPr algn="l"/>
          <a:r>
            <a:rPr lang="en-US" sz="1100" b="0">
              <a:solidFill>
                <a:schemeClr val="bg1"/>
              </a:solidFill>
              <a:effectLst/>
            </a:rPr>
            <a:t>- Remy Monet located in Paris, best</a:t>
          </a:r>
          <a:r>
            <a:rPr lang="en-US" sz="1100" b="0" baseline="0">
              <a:solidFill>
                <a:schemeClr val="bg1"/>
              </a:solidFill>
              <a:effectLst/>
            </a:rPr>
            <a:t> selling product is Burgers, most used payment type is Credit card and no Gift cards, more products are sold in drive-thru and less in-store, most sales are made on Wednesdays, 65.16% of products are sold in November as a total revenue of </a:t>
          </a:r>
          <a:r>
            <a:rPr lang="en-US">
              <a:effectLst/>
            </a:rPr>
            <a:t>$79,800.31 was generated.</a:t>
          </a:r>
          <a:endParaRPr lang="en-US" sz="1100" b="0">
            <a:solidFill>
              <a:schemeClr val="bg1"/>
            </a:solidFill>
          </a:endParaRPr>
        </a:p>
      </xdr:txBody>
    </xdr:sp>
    <xdr:clientData/>
  </xdr:twoCellAnchor>
  <xdr:twoCellAnchor>
    <xdr:from>
      <xdr:col>6</xdr:col>
      <xdr:colOff>486777</xdr:colOff>
      <xdr:row>0</xdr:row>
      <xdr:rowOff>150125</xdr:rowOff>
    </xdr:from>
    <xdr:to>
      <xdr:col>12</xdr:col>
      <xdr:colOff>204716</xdr:colOff>
      <xdr:row>26</xdr:row>
      <xdr:rowOff>40945</xdr:rowOff>
    </xdr:to>
    <xdr:sp macro="" textlink="">
      <xdr:nvSpPr>
        <xdr:cNvPr id="3" name="Rectangle: Rounded Corners 2">
          <a:extLst>
            <a:ext uri="{FF2B5EF4-FFF2-40B4-BE49-F238E27FC236}">
              <a16:creationId xmlns:a16="http://schemas.microsoft.com/office/drawing/2014/main" id="{9E2CF469-2086-4CE0-A554-0EC1516CF9CC}"/>
            </a:ext>
          </a:extLst>
        </xdr:cNvPr>
        <xdr:cNvSpPr/>
      </xdr:nvSpPr>
      <xdr:spPr>
        <a:xfrm>
          <a:off x="4089786" y="150125"/>
          <a:ext cx="3320948" cy="4503763"/>
        </a:xfrm>
        <a:prstGeom prst="roundRect">
          <a:avLst/>
        </a:prstGeom>
        <a:ln>
          <a:solidFill>
            <a:srgbClr val="5A7E8C"/>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solidFill>
                <a:srgbClr val="5A7E8C"/>
              </a:solidFill>
            </a:rPr>
            <a:t>OBSERVATIONS based on Monthly</a:t>
          </a:r>
          <a:r>
            <a:rPr lang="en-US" sz="1100" b="1" baseline="0">
              <a:solidFill>
                <a:srgbClr val="5A7E8C"/>
              </a:solidFill>
            </a:rPr>
            <a:t> sales</a:t>
          </a:r>
        </a:p>
        <a:p>
          <a:pPr algn="l"/>
          <a:endParaRPr lang="en-US" sz="1100" b="1" baseline="0">
            <a:solidFill>
              <a:srgbClr val="5A7E8C"/>
            </a:solidFill>
          </a:endParaRPr>
        </a:p>
        <a:p>
          <a:pPr algn="l"/>
          <a:r>
            <a:rPr lang="en-US" sz="1100" b="0" baseline="0">
              <a:solidFill>
                <a:srgbClr val="5A7E8C"/>
              </a:solidFill>
            </a:rPr>
            <a:t>- In November, Pablo Perez, from Madrid topped the chart as he generated the highest revenue of </a:t>
          </a:r>
          <a:r>
            <a:rPr lang="en-US">
              <a:solidFill>
                <a:srgbClr val="5A7E8C"/>
              </a:solidFill>
              <a:effectLst/>
            </a:rPr>
            <a:t>$136,200.27, best selling product was Burgers,</a:t>
          </a:r>
          <a:r>
            <a:rPr lang="en-US" baseline="0">
              <a:solidFill>
                <a:srgbClr val="5A7E8C"/>
              </a:solidFill>
              <a:effectLst/>
            </a:rPr>
            <a:t> Most used payment type was credit card and the least used was gift card, sales were mostly made on Wednesdays, Drive thru generated more revenue to online sales.</a:t>
          </a:r>
        </a:p>
        <a:p>
          <a:pPr algn="l"/>
          <a:r>
            <a:rPr lang="en-US" sz="1100" b="0" baseline="0">
              <a:solidFill>
                <a:srgbClr val="5A7E8C"/>
              </a:solidFill>
              <a:effectLst/>
            </a:rPr>
            <a:t>- In December, Joao Silver, from Lisbon topped the chart a total revenue of </a:t>
          </a:r>
          <a:r>
            <a:rPr lang="en-US">
              <a:solidFill>
                <a:srgbClr val="5A7E8C"/>
              </a:solidFill>
              <a:effectLst/>
            </a:rPr>
            <a:t>$184,600.23 was generated,</a:t>
          </a:r>
          <a:r>
            <a:rPr lang="en-US" baseline="0">
              <a:solidFill>
                <a:srgbClr val="5A7E8C"/>
              </a:solidFill>
              <a:effectLst/>
            </a:rPr>
            <a:t> best selling product is Burgers</a:t>
          </a:r>
          <a:r>
            <a:rPr lang="en-US" sz="1100" b="0" baseline="0">
              <a:solidFill>
                <a:srgbClr val="5A7E8C"/>
              </a:solidFill>
              <a:effectLst/>
            </a:rPr>
            <a:t>, most used payment type is Cash and the least used was credit card, most sales were made on Thursday, more online sales to Drive-thru.</a:t>
          </a:r>
          <a:endParaRPr lang="en-US" sz="1100" b="0">
            <a:solidFill>
              <a:srgbClr val="5A7E8C"/>
            </a:solidFill>
          </a:endParaRPr>
        </a:p>
        <a:p>
          <a:pPr algn="l"/>
          <a:endParaRPr lang="en-US" sz="1100">
            <a:solidFill>
              <a:srgbClr val="5A7E8C"/>
            </a:solidFill>
          </a:endParaRPr>
        </a:p>
      </xdr:txBody>
    </xdr:sp>
    <xdr:clientData/>
  </xdr:twoCellAnchor>
  <xdr:twoCellAnchor>
    <xdr:from>
      <xdr:col>12</xdr:col>
      <xdr:colOff>552734</xdr:colOff>
      <xdr:row>0</xdr:row>
      <xdr:rowOff>156948</xdr:rowOff>
    </xdr:from>
    <xdr:to>
      <xdr:col>18</xdr:col>
      <xdr:colOff>477671</xdr:colOff>
      <xdr:row>25</xdr:row>
      <xdr:rowOff>129653</xdr:rowOff>
    </xdr:to>
    <xdr:sp macro="" textlink="">
      <xdr:nvSpPr>
        <xdr:cNvPr id="5" name="Rectangle: Rounded Corners 4">
          <a:extLst>
            <a:ext uri="{FF2B5EF4-FFF2-40B4-BE49-F238E27FC236}">
              <a16:creationId xmlns:a16="http://schemas.microsoft.com/office/drawing/2014/main" id="{52062951-A127-4F41-BE37-83892206FD39}"/>
            </a:ext>
          </a:extLst>
        </xdr:cNvPr>
        <xdr:cNvSpPr/>
      </xdr:nvSpPr>
      <xdr:spPr>
        <a:xfrm>
          <a:off x="7758752" y="156948"/>
          <a:ext cx="3527946" cy="4408227"/>
        </a:xfrm>
        <a:prstGeom prst="roundRect">
          <a:avLst/>
        </a:prstGeom>
        <a:solidFill>
          <a:srgbClr val="5A7E8C"/>
        </a:solidFill>
        <a:ln>
          <a:solidFill>
            <a:srgbClr val="5A7E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OBSERVATIONS based on Purchase</a:t>
          </a:r>
          <a:r>
            <a:rPr lang="en-US" sz="1100" b="1" baseline="0"/>
            <a:t> Type</a:t>
          </a:r>
        </a:p>
        <a:p>
          <a:pPr algn="l"/>
          <a:endParaRPr lang="en-US" sz="1100" b="1" baseline="0"/>
        </a:p>
        <a:p>
          <a:pPr algn="l"/>
          <a:r>
            <a:rPr lang="en-US" sz="1100" b="0" baseline="0"/>
            <a:t>- Under Drive-thru purchase, Pablo Perez topped the chart, as a total revenue of </a:t>
          </a:r>
          <a:r>
            <a:rPr lang="en-US">
              <a:effectLst/>
            </a:rPr>
            <a:t>$58,600.10 was generated,</a:t>
          </a:r>
          <a:r>
            <a:rPr lang="en-US" baseline="0">
              <a:effectLst/>
            </a:rPr>
            <a:t> Burgers made the best sales as credit card was the most used payment method, most sales were made on Thursdays and 80.18% of profit was made in November.</a:t>
          </a:r>
        </a:p>
        <a:p>
          <a:pPr algn="l"/>
          <a:r>
            <a:rPr lang="en-US" sz="1100" b="0" baseline="0">
              <a:effectLst/>
            </a:rPr>
            <a:t>- Under In-store, Joao Silva made the highest sales of </a:t>
          </a:r>
          <a:r>
            <a:rPr lang="en-US">
              <a:effectLst/>
            </a:rPr>
            <a:t>$128,913.70, Burgers topped the chart, Cash was the most used payment type , most sales were made on Tuesdays, and 51.38% of sales was made in December.</a:t>
          </a:r>
        </a:p>
        <a:p>
          <a:pPr algn="l"/>
          <a:r>
            <a:rPr lang="en-US" sz="1100" b="0">
              <a:effectLst/>
            </a:rPr>
            <a:t>-</a:t>
          </a:r>
          <a:r>
            <a:rPr lang="en-US" sz="1100" b="0" baseline="0">
              <a:effectLst/>
            </a:rPr>
            <a:t> </a:t>
          </a:r>
          <a:r>
            <a:rPr lang="en-US" sz="1100" b="0">
              <a:effectLst/>
            </a:rPr>
            <a:t>Under Online sales, Tom Jackson from London, topped the chart, as a</a:t>
          </a:r>
          <a:r>
            <a:rPr lang="en-US" sz="1100" b="0" baseline="0">
              <a:effectLst/>
            </a:rPr>
            <a:t> total revenue of </a:t>
          </a:r>
          <a:r>
            <a:rPr lang="en-US">
              <a:effectLst/>
            </a:rPr>
            <a:t>$182,600.95 was generated,</a:t>
          </a:r>
          <a:r>
            <a:rPr lang="en-US" baseline="0">
              <a:effectLst/>
            </a:rPr>
            <a:t> Burgers were sold best , credit card were mostly used and sales was high on Mondays, as </a:t>
          </a:r>
          <a:r>
            <a:rPr lang="en-US">
              <a:effectLst/>
            </a:rPr>
            <a:t>83.62% of revenue</a:t>
          </a:r>
          <a:r>
            <a:rPr lang="en-US" baseline="0">
              <a:effectLst/>
            </a:rPr>
            <a:t> was generated in December.</a:t>
          </a:r>
          <a:endParaRPr lang="en-US" sz="1100" b="0"/>
        </a:p>
        <a:p>
          <a:pPr algn="l"/>
          <a:endParaRPr lang="en-US" sz="1100"/>
        </a:p>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266125</xdr:colOff>
      <xdr:row>0</xdr:row>
      <xdr:rowOff>68240</xdr:rowOff>
    </xdr:from>
    <xdr:to>
      <xdr:col>6</xdr:col>
      <xdr:colOff>81887</xdr:colOff>
      <xdr:row>27</xdr:row>
      <xdr:rowOff>34120</xdr:rowOff>
    </xdr:to>
    <xdr:sp macro="" textlink="">
      <xdr:nvSpPr>
        <xdr:cNvPr id="2" name="Rectangle: Rounded Corners 1">
          <a:extLst>
            <a:ext uri="{FF2B5EF4-FFF2-40B4-BE49-F238E27FC236}">
              <a16:creationId xmlns:a16="http://schemas.microsoft.com/office/drawing/2014/main" id="{F4BE8DAC-E56E-45E1-ADD8-7A1BC4402CE3}"/>
            </a:ext>
          </a:extLst>
        </xdr:cNvPr>
        <xdr:cNvSpPr/>
      </xdr:nvSpPr>
      <xdr:spPr>
        <a:xfrm>
          <a:off x="266125" y="68240"/>
          <a:ext cx="3418771" cy="4756244"/>
        </a:xfrm>
        <a:prstGeom prst="roundRect">
          <a:avLst/>
        </a:prstGeom>
        <a:solidFill>
          <a:srgbClr val="5A7E8C"/>
        </a:solidFill>
        <a:ln>
          <a:solidFill>
            <a:srgbClr val="5A7E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RECOMMENDATIONS based on Managers' performance</a:t>
          </a:r>
        </a:p>
        <a:p>
          <a:pPr algn="l"/>
          <a:endParaRPr lang="en-US" sz="1100" b="1">
            <a:solidFill>
              <a:schemeClr val="bg1"/>
            </a:solidFill>
          </a:endParaRPr>
        </a:p>
        <a:p>
          <a:r>
            <a:rPr lang="en-US" sz="1100" b="0">
              <a:solidFill>
                <a:schemeClr val="bg1"/>
              </a:solidFill>
            </a:rPr>
            <a:t>-</a:t>
          </a:r>
          <a:r>
            <a:rPr lang="en-US" sz="1100" b="0" baseline="0">
              <a:solidFill>
                <a:schemeClr val="bg1"/>
              </a:solidFill>
            </a:rPr>
            <a:t> Joao Silva from Lisbon: </a:t>
          </a:r>
          <a:r>
            <a:rPr lang="en-US" b="0"/>
            <a:t>Introduce discounts or promotions for drive-thru orders to boost usage.</a:t>
          </a:r>
        </a:p>
        <a:p>
          <a:r>
            <a:rPr lang="en-US" b="0"/>
            <a:t>Promote alternative payment options (e.g., credit card rewards or</a:t>
          </a:r>
          <a:r>
            <a:rPr lang="en-US" b="0" baseline="0"/>
            <a:t> </a:t>
          </a:r>
          <a:r>
            <a:rPr lang="en-US" b="0"/>
            <a:t>gift cards)</a:t>
          </a:r>
          <a:r>
            <a:rPr lang="en-US" b="0" baseline="0"/>
            <a:t> </a:t>
          </a:r>
          <a:r>
            <a:rPr lang="en-US" b="0"/>
            <a:t>to balance payment methods.</a:t>
          </a:r>
        </a:p>
        <a:p>
          <a:r>
            <a:rPr lang="en-US" b="0"/>
            <a:t>Leverage Sunday peak sales by launching special weekend meal bundles</a:t>
          </a:r>
        </a:p>
        <a:p>
          <a:r>
            <a:rPr lang="en-US" b="0"/>
            <a:t>- Pablo Perez from Madrid: Since sales were only in November, ensure a strategy for consistent sales across months (e.g., loyalty programs or December holiday deals).</a:t>
          </a:r>
        </a:p>
        <a:p>
          <a:r>
            <a:rPr lang="en-US" b="0"/>
            <a:t>Encourage online orders by improving promotions on apps/websites.</a:t>
          </a:r>
        </a:p>
        <a:p>
          <a:r>
            <a:rPr lang="en-US" b="0"/>
            <a:t>Capitalize on Thursday trends with targeted deals like “Thursday Burger Specials.”</a:t>
          </a:r>
        </a:p>
        <a:p>
          <a:r>
            <a:rPr lang="en-US" b="0"/>
            <a:t>-</a:t>
          </a:r>
          <a:r>
            <a:rPr lang="en-US" b="0" baseline="0"/>
            <a:t> </a:t>
          </a:r>
          <a:r>
            <a:rPr lang="en-US" b="0"/>
            <a:t>Remy Monet from Paris:</a:t>
          </a:r>
          <a:r>
            <a:rPr lang="en-US" b="0" baseline="0"/>
            <a:t> </a:t>
          </a:r>
          <a:r>
            <a:rPr lang="en-US" b="0"/>
            <a:t>Promote gift cards (e.g., holiday gift promotions), since they’re not being used at all.</a:t>
          </a:r>
        </a:p>
        <a:p>
          <a:r>
            <a:rPr lang="en-US" b="0"/>
            <a:t>Balance sales channels by offering in-store exclusive perks to strengthen foot traffic.</a:t>
          </a:r>
        </a:p>
        <a:p>
          <a:r>
            <a:rPr lang="en-US" b="0"/>
            <a:t>Create mid-week campaigns (e.g., “Wednesday </a:t>
          </a:r>
          <a:r>
            <a:rPr lang="en-US"/>
            <a:t>Double Deal”) to further leverage peak sales days.</a:t>
          </a:r>
        </a:p>
      </xdr:txBody>
    </xdr:sp>
    <xdr:clientData/>
  </xdr:twoCellAnchor>
  <xdr:twoCellAnchor>
    <xdr:from>
      <xdr:col>6</xdr:col>
      <xdr:colOff>486777</xdr:colOff>
      <xdr:row>0</xdr:row>
      <xdr:rowOff>150125</xdr:rowOff>
    </xdr:from>
    <xdr:to>
      <xdr:col>12</xdr:col>
      <xdr:colOff>204716</xdr:colOff>
      <xdr:row>26</xdr:row>
      <xdr:rowOff>40945</xdr:rowOff>
    </xdr:to>
    <xdr:sp macro="" textlink="">
      <xdr:nvSpPr>
        <xdr:cNvPr id="3" name="Rectangle: Rounded Corners 2">
          <a:extLst>
            <a:ext uri="{FF2B5EF4-FFF2-40B4-BE49-F238E27FC236}">
              <a16:creationId xmlns:a16="http://schemas.microsoft.com/office/drawing/2014/main" id="{BC4B1C4D-095E-4F19-88C4-A170A7C26178}"/>
            </a:ext>
          </a:extLst>
        </xdr:cNvPr>
        <xdr:cNvSpPr/>
      </xdr:nvSpPr>
      <xdr:spPr>
        <a:xfrm>
          <a:off x="4089786" y="150125"/>
          <a:ext cx="3320948" cy="4503763"/>
        </a:xfrm>
        <a:prstGeom prst="roundRect">
          <a:avLst/>
        </a:prstGeom>
        <a:ln>
          <a:solidFill>
            <a:srgbClr val="5A7E8C"/>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solidFill>
                <a:srgbClr val="5A7E8C"/>
              </a:solidFill>
            </a:rPr>
            <a:t>RECOMMENDATIONS based on Monthly</a:t>
          </a:r>
          <a:r>
            <a:rPr lang="en-US" sz="1100" b="1" baseline="0">
              <a:solidFill>
                <a:srgbClr val="5A7E8C"/>
              </a:solidFill>
            </a:rPr>
            <a:t> sales</a:t>
          </a:r>
        </a:p>
        <a:p>
          <a:pPr algn="l"/>
          <a:endParaRPr lang="en-US" sz="1100" b="1" baseline="0">
            <a:solidFill>
              <a:srgbClr val="5A7E8C"/>
            </a:solidFill>
          </a:endParaRPr>
        </a:p>
        <a:p>
          <a:r>
            <a:rPr lang="en-US" sz="1100" b="0" baseline="0">
              <a:solidFill>
                <a:srgbClr val="5A7E8C"/>
              </a:solidFill>
            </a:rPr>
            <a:t>- In November, Pablo Perez, from Madrid, </a:t>
          </a:r>
          <a:r>
            <a:rPr lang="en-US" b="0">
              <a:solidFill>
                <a:srgbClr val="5A7E8C"/>
              </a:solidFill>
            </a:rPr>
            <a:t>Promote gift cards during holiday seasons to diversify payments.</a:t>
          </a:r>
        </a:p>
        <a:p>
          <a:r>
            <a:rPr lang="en-US" b="0">
              <a:solidFill>
                <a:srgbClr val="5A7E8C"/>
              </a:solidFill>
            </a:rPr>
            <a:t>Strengthen peak-day sales with wednesday</a:t>
          </a:r>
          <a:r>
            <a:rPr lang="en-US" b="0" baseline="0">
              <a:solidFill>
                <a:srgbClr val="5A7E8C"/>
              </a:solidFill>
            </a:rPr>
            <a:t> specials like</a:t>
          </a:r>
          <a:r>
            <a:rPr lang="en-US" b="0">
              <a:solidFill>
                <a:srgbClr val="5A7E8C"/>
              </a:solidFill>
            </a:rPr>
            <a:t> “Midweek Burger Combos” or give loyalty points.</a:t>
          </a:r>
        </a:p>
        <a:p>
          <a:r>
            <a:rPr lang="en-US" b="0">
              <a:solidFill>
                <a:srgbClr val="5A7E8C"/>
              </a:solidFill>
            </a:rPr>
            <a:t>Since drive-thru is already stronger, invest in online promotions (discount codes or coupons, free delivery thresholds etc) to balance channels.</a:t>
          </a:r>
        </a:p>
        <a:p>
          <a:r>
            <a:rPr lang="en-US" b="0">
              <a:solidFill>
                <a:srgbClr val="5A7E8C"/>
              </a:solidFill>
            </a:rPr>
            <a:t>Upsell alongside burgers (fries, drinks, desserts) to increase average order value.</a:t>
          </a:r>
        </a:p>
        <a:p>
          <a:r>
            <a:rPr lang="en-US" sz="1100">
              <a:solidFill>
                <a:srgbClr val="5A7E8C"/>
              </a:solidFill>
            </a:rPr>
            <a:t>-</a:t>
          </a:r>
          <a:r>
            <a:rPr lang="en-US" sz="1100" baseline="0">
              <a:solidFill>
                <a:srgbClr val="5A7E8C"/>
              </a:solidFill>
            </a:rPr>
            <a:t> In December, Joao Silva from Lisbon, </a:t>
          </a:r>
          <a:r>
            <a:rPr lang="en-US" b="0">
              <a:solidFill>
                <a:srgbClr val="5A7E8C"/>
              </a:solidFill>
            </a:rPr>
            <a:t>Encourage card/digital payments (discounts for card users, cashback promotions) to reduce dependency on cash.</a:t>
          </a:r>
        </a:p>
        <a:p>
          <a:r>
            <a:rPr lang="en-US" b="0">
              <a:solidFill>
                <a:srgbClr val="5A7E8C"/>
              </a:solidFill>
            </a:rPr>
            <a:t>Thursday Deals (e.g., “Buy 2 Burgers, Get 1 Free”) to leverage strong weekly performance.</a:t>
          </a:r>
        </a:p>
        <a:p>
          <a:r>
            <a:rPr lang="en-US" b="0">
              <a:solidFill>
                <a:srgbClr val="5A7E8C"/>
              </a:solidFill>
            </a:rPr>
            <a:t>Drive-thru is weaker → launch express drive-thru lanes or “skip-the-line” offers.</a:t>
          </a:r>
        </a:p>
        <a:p>
          <a:r>
            <a:rPr lang="en-US" b="0">
              <a:solidFill>
                <a:srgbClr val="5A7E8C"/>
              </a:solidFill>
            </a:rPr>
            <a:t>Online is strong → keep momentum by pushing seasonal bundles and exclusive online discounts.</a:t>
          </a:r>
        </a:p>
        <a:p>
          <a:pPr algn="l"/>
          <a:endParaRPr lang="en-US" sz="1100">
            <a:solidFill>
              <a:srgbClr val="5A7E8C"/>
            </a:solidFill>
          </a:endParaRPr>
        </a:p>
      </xdr:txBody>
    </xdr:sp>
    <xdr:clientData/>
  </xdr:twoCellAnchor>
  <xdr:twoCellAnchor>
    <xdr:from>
      <xdr:col>12</xdr:col>
      <xdr:colOff>552734</xdr:colOff>
      <xdr:row>0</xdr:row>
      <xdr:rowOff>156948</xdr:rowOff>
    </xdr:from>
    <xdr:to>
      <xdr:col>18</xdr:col>
      <xdr:colOff>477671</xdr:colOff>
      <xdr:row>25</xdr:row>
      <xdr:rowOff>129653</xdr:rowOff>
    </xdr:to>
    <xdr:sp macro="" textlink="">
      <xdr:nvSpPr>
        <xdr:cNvPr id="4" name="Rectangle: Rounded Corners 3">
          <a:extLst>
            <a:ext uri="{FF2B5EF4-FFF2-40B4-BE49-F238E27FC236}">
              <a16:creationId xmlns:a16="http://schemas.microsoft.com/office/drawing/2014/main" id="{6B957581-ADAD-4417-9508-813C6EC46EAB}"/>
            </a:ext>
          </a:extLst>
        </xdr:cNvPr>
        <xdr:cNvSpPr/>
      </xdr:nvSpPr>
      <xdr:spPr>
        <a:xfrm>
          <a:off x="7758752" y="156948"/>
          <a:ext cx="3527946" cy="4408227"/>
        </a:xfrm>
        <a:prstGeom prst="roundRect">
          <a:avLst/>
        </a:prstGeom>
        <a:solidFill>
          <a:srgbClr val="5A7E8C"/>
        </a:solidFill>
        <a:ln>
          <a:solidFill>
            <a:srgbClr val="5A7E8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RECOMMENDATIONS</a:t>
          </a:r>
          <a:r>
            <a:rPr lang="en-US" sz="1100" b="1" baseline="0"/>
            <a:t> based on Purchase Type </a:t>
          </a:r>
          <a:endParaRPr lang="en-US" sz="1100" b="0"/>
        </a:p>
        <a:p>
          <a:pPr algn="l"/>
          <a:endParaRPr lang="en-US" sz="1100"/>
        </a:p>
        <a:p>
          <a:r>
            <a:rPr lang="en-US" sz="1100" b="0" baseline="0">
              <a:solidFill>
                <a:schemeClr val="lt1"/>
              </a:solidFill>
              <a:effectLst/>
              <a:latin typeface="+mn-lt"/>
              <a:ea typeface="+mn-ea"/>
              <a:cs typeface="+mn-cs"/>
            </a:rPr>
            <a:t>- S</a:t>
          </a:r>
          <a:r>
            <a:rPr lang="en-US" sz="1100">
              <a:solidFill>
                <a:schemeClr val="lt1"/>
              </a:solidFill>
              <a:effectLst/>
              <a:latin typeface="+mn-lt"/>
              <a:ea typeface="+mn-ea"/>
              <a:cs typeface="+mn-cs"/>
            </a:rPr>
            <a:t>ince </a:t>
          </a:r>
          <a:r>
            <a:rPr lang="en-US" sz="1100" b="0">
              <a:solidFill>
                <a:schemeClr val="lt1"/>
              </a:solidFill>
              <a:effectLst/>
              <a:latin typeface="+mn-lt"/>
              <a:ea typeface="+mn-ea"/>
              <a:cs typeface="+mn-cs"/>
            </a:rPr>
            <a:t>drive-thru performs best on Thursdays, launch targeted “Thursday Drive-thru Deals” to boost sales.</a:t>
          </a:r>
          <a:endParaRPr lang="en-US">
            <a:effectLst/>
          </a:endParaRPr>
        </a:p>
        <a:p>
          <a:r>
            <a:rPr lang="en-US" sz="1100" b="0">
              <a:solidFill>
                <a:schemeClr val="lt1"/>
              </a:solidFill>
              <a:effectLst/>
              <a:latin typeface="+mn-lt"/>
              <a:ea typeface="+mn-ea"/>
              <a:cs typeface="+mn-cs"/>
            </a:rPr>
            <a:t>Encourage other payment methods (cash, and</a:t>
          </a:r>
          <a:r>
            <a:rPr lang="en-US" sz="1100" b="0" baseline="0">
              <a:solidFill>
                <a:schemeClr val="lt1"/>
              </a:solidFill>
              <a:effectLst/>
              <a:latin typeface="+mn-lt"/>
              <a:ea typeface="+mn-ea"/>
              <a:cs typeface="+mn-cs"/>
            </a:rPr>
            <a:t> Gift cards</a:t>
          </a:r>
          <a:r>
            <a:rPr lang="en-US" sz="1100" b="0">
              <a:solidFill>
                <a:schemeClr val="lt1"/>
              </a:solidFill>
              <a:effectLst/>
              <a:latin typeface="+mn-lt"/>
              <a:ea typeface="+mn-ea"/>
              <a:cs typeface="+mn-cs"/>
            </a:rPr>
            <a:t>) with small discounts to reduce reliance on credit card.</a:t>
          </a:r>
          <a:endParaRPr lang="en-US">
            <a:effectLst/>
          </a:endParaRPr>
        </a:p>
        <a:p>
          <a:r>
            <a:rPr lang="en-US" sz="1100" b="0">
              <a:solidFill>
                <a:schemeClr val="lt1"/>
              </a:solidFill>
              <a:effectLst/>
              <a:latin typeface="+mn-lt"/>
              <a:ea typeface="+mn-ea"/>
              <a:cs typeface="+mn-cs"/>
            </a:rPr>
            <a:t>Maintain drive-thru growth in December with holiday bundles (since most profit was in November).</a:t>
          </a:r>
          <a:endParaRPr lang="en-US">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Encourage digital/card payments with cashback or loyalty points to balance heavy cash usage.</a:t>
          </a:r>
          <a:endParaRPr lang="en-US">
            <a:effectLst/>
          </a:endParaRPr>
        </a:p>
        <a:p>
          <a:r>
            <a:rPr lang="en-US" sz="1100" b="0">
              <a:solidFill>
                <a:schemeClr val="lt1"/>
              </a:solidFill>
              <a:effectLst/>
              <a:latin typeface="+mn-lt"/>
              <a:ea typeface="+mn-ea"/>
              <a:cs typeface="+mn-cs"/>
            </a:rPr>
            <a:t>Create Tuesday Loyalty Programs (e.g., “Double Points Tuesday”) to leverage peak-day activity.</a:t>
          </a:r>
          <a:endParaRPr lang="en-US">
            <a:effectLst/>
          </a:endParaRPr>
        </a:p>
        <a:p>
          <a:r>
            <a:rPr lang="en-US" sz="1100" b="0">
              <a:solidFill>
                <a:schemeClr val="lt1"/>
              </a:solidFill>
              <a:effectLst/>
              <a:latin typeface="+mn-lt"/>
              <a:ea typeface="+mn-ea"/>
              <a:cs typeface="+mn-cs"/>
            </a:rPr>
            <a:t>Since December was strongest, run monthly campaigns year-round to prevent overdependence on seasonal peaks</a:t>
          </a:r>
          <a:r>
            <a:rPr lang="en-US" sz="1100">
              <a:solidFill>
                <a:schemeClr val="lt1"/>
              </a:solidFill>
              <a:effectLst/>
              <a:latin typeface="+mn-lt"/>
              <a:ea typeface="+mn-ea"/>
              <a:cs typeface="+mn-cs"/>
            </a:rPr>
            <a:t>.</a:t>
          </a:r>
          <a:endParaRPr lang="en-US">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Capitalize on Monday sales trend with “Monday Online Exclusives” (discount codes or free delivery).</a:t>
          </a:r>
          <a:endParaRPr lang="en-US">
            <a:effectLst/>
          </a:endParaRPr>
        </a:p>
        <a:p>
          <a:r>
            <a:rPr lang="en-US" sz="1100" b="0">
              <a:solidFill>
                <a:schemeClr val="lt1"/>
              </a:solidFill>
              <a:effectLst/>
              <a:latin typeface="+mn-lt"/>
              <a:ea typeface="+mn-ea"/>
              <a:cs typeface="+mn-cs"/>
            </a:rPr>
            <a:t>Encourage alternative payment methods (PayPal, gift cards) to diversify beyond credit cards.</a:t>
          </a:r>
          <a:endParaRPr lang="en-US">
            <a:effectLst/>
          </a:endParaRPr>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l" refreshedDate="45920.609255439813" createdVersion="8" refreshedVersion="8" minRefreshableVersion="3" recordCount="254" xr:uid="{F5D41850-0668-4787-86BF-0E9D35F880EE}">
  <cacheSource type="worksheet">
    <worksheetSource name="sales"/>
  </cacheSource>
  <cacheFields count="12">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acheField>
    <cacheField name="Product" numFmtId="0">
      <sharedItems count="5">
        <s v="Fries"/>
        <s v="Beverages"/>
        <s v="Sides &amp; Other"/>
        <s v="Burgers"/>
        <s v="Chicken Sandwiches"/>
      </sharedItems>
    </cacheField>
    <cacheField name="Price" numFmtId="164">
      <sharedItems containsSemiMixedTypes="0" containsString="0" containsNumber="1" minValue="2.95" maxValue="29.05"/>
    </cacheField>
    <cacheField name="Quantity" numFmtId="2">
      <sharedItems containsSemiMixedTypes="0" containsString="0" containsNumber="1" minValue="200.4" maxValue="754.43"/>
    </cacheField>
    <cacheField name="Total Amount" numFmtId="164">
      <sharedItems containsSemiMixedTypes="0" containsString="0" containsNumber="1" minValue="999.99600000000009" maxValue="16074.434999999999"/>
    </cacheField>
    <cacheField name="Purchase Type" numFmtId="0">
      <sharedItems count="3">
        <s v="Online "/>
        <s v="In-store "/>
        <s v="Drive-thru "/>
      </sharedItems>
    </cacheField>
    <cacheField name="Payment Method" numFmtId="0">
      <sharedItems count="3">
        <s v=" Gift Card"/>
        <s v=" Credit Card"/>
        <s v=" Cash"/>
      </sharedItems>
    </cacheField>
    <cacheField name="Manager" numFmtId="0">
      <sharedItems count="5">
        <s v="Tom Jackson"/>
        <s v="Pablo Perez"/>
        <s v="Joao Silva"/>
        <s v="Walter Muller"/>
        <s v="Remy Monet"/>
      </sharedItems>
    </cacheField>
    <cacheField name="City" numFmtId="0">
      <sharedItems count="5">
        <s v="London"/>
        <s v="Madrid"/>
        <s v="Lisbon"/>
        <s v="Berlin"/>
        <s v="Paris"/>
      </sharedItems>
    </cacheField>
    <cacheField name="Months" numFmtId="0">
      <sharedItems count="2">
        <s v="Nov"/>
        <s v="Dec"/>
      </sharedItems>
    </cacheField>
    <cacheField name="Days" numFmtId="0">
      <sharedItems count="7">
        <s v="Mon"/>
        <s v="Tue"/>
        <s v="Wed"/>
        <s v="Thu"/>
        <s v="Fri"/>
        <s v="Sat"/>
        <s v="Sun"/>
      </sharedItems>
    </cacheField>
  </cacheFields>
  <extLst>
    <ext xmlns:x14="http://schemas.microsoft.com/office/spreadsheetml/2009/9/main" uri="{725AE2AE-9491-48be-B2B4-4EB974FC3084}">
      <x14:pivotCacheDefinition pivotCacheId="1298112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n v="10452"/>
    <d v="2022-11-07T00:00:00"/>
    <x v="0"/>
    <n v="3.49"/>
    <n v="573.07000000000005"/>
    <n v="2000.0143000000003"/>
    <x v="0"/>
    <x v="0"/>
    <x v="0"/>
    <x v="0"/>
    <x v="0"/>
    <x v="0"/>
  </r>
  <r>
    <n v="10453"/>
    <d v="2022-11-07T00:00:00"/>
    <x v="1"/>
    <n v="2.95"/>
    <n v="745.76"/>
    <n v="2199.9920000000002"/>
    <x v="0"/>
    <x v="0"/>
    <x v="1"/>
    <x v="1"/>
    <x v="0"/>
    <x v="0"/>
  </r>
  <r>
    <n v="10454"/>
    <d v="2022-11-07T00:00:00"/>
    <x v="2"/>
    <n v="4.99"/>
    <n v="200.4"/>
    <n v="999.99600000000009"/>
    <x v="1"/>
    <x v="0"/>
    <x v="2"/>
    <x v="2"/>
    <x v="0"/>
    <x v="0"/>
  </r>
  <r>
    <n v="10455"/>
    <d v="2022-11-08T00:00:00"/>
    <x v="3"/>
    <n v="12.99"/>
    <n v="569.66999999999996"/>
    <n v="7400.0132999999996"/>
    <x v="1"/>
    <x v="1"/>
    <x v="3"/>
    <x v="3"/>
    <x v="0"/>
    <x v="1"/>
  </r>
  <r>
    <n v="10456"/>
    <d v="2022-11-08T00:00:00"/>
    <x v="4"/>
    <n v="9.9499999999999993"/>
    <n v="201.01"/>
    <n v="2000.0494999999999"/>
    <x v="1"/>
    <x v="1"/>
    <x v="3"/>
    <x v="3"/>
    <x v="0"/>
    <x v="1"/>
  </r>
  <r>
    <n v="10457"/>
    <d v="2022-11-08T00:00:00"/>
    <x v="0"/>
    <n v="3.49"/>
    <n v="573.07000000000005"/>
    <n v="2000.0143000000003"/>
    <x v="1"/>
    <x v="1"/>
    <x v="4"/>
    <x v="4"/>
    <x v="0"/>
    <x v="1"/>
  </r>
  <r>
    <n v="10459"/>
    <d v="2022-11-08T00:00:00"/>
    <x v="2"/>
    <n v="4.99"/>
    <n v="200.4"/>
    <n v="999.99600000000009"/>
    <x v="1"/>
    <x v="1"/>
    <x v="3"/>
    <x v="3"/>
    <x v="0"/>
    <x v="1"/>
  </r>
  <r>
    <n v="10460"/>
    <d v="2022-11-09T00:00:00"/>
    <x v="3"/>
    <n v="12.99"/>
    <n v="554.27"/>
    <n v="7199.9673000000003"/>
    <x v="1"/>
    <x v="1"/>
    <x v="4"/>
    <x v="4"/>
    <x v="0"/>
    <x v="2"/>
  </r>
  <r>
    <n v="10461"/>
    <d v="2022-11-09T00:00:00"/>
    <x v="4"/>
    <n v="9.9499999999999993"/>
    <n v="201.01"/>
    <n v="2000.0494999999999"/>
    <x v="1"/>
    <x v="1"/>
    <x v="4"/>
    <x v="4"/>
    <x v="0"/>
    <x v="2"/>
  </r>
  <r>
    <n v="10462"/>
    <d v="2022-11-09T00:00:00"/>
    <x v="0"/>
    <n v="3.49"/>
    <n v="573.07000000000005"/>
    <n v="2000.0143000000003"/>
    <x v="1"/>
    <x v="1"/>
    <x v="4"/>
    <x v="4"/>
    <x v="0"/>
    <x v="2"/>
  </r>
  <r>
    <n v="10463"/>
    <d v="2022-11-09T00:00:00"/>
    <x v="1"/>
    <n v="2.95"/>
    <n v="677.97"/>
    <n v="2000.0115000000003"/>
    <x v="1"/>
    <x v="1"/>
    <x v="4"/>
    <x v="4"/>
    <x v="0"/>
    <x v="2"/>
  </r>
  <r>
    <n v="10464"/>
    <d v="2022-11-09T00:00:00"/>
    <x v="2"/>
    <n v="4.99"/>
    <n v="200.4"/>
    <n v="999.99600000000009"/>
    <x v="1"/>
    <x v="1"/>
    <x v="4"/>
    <x v="4"/>
    <x v="0"/>
    <x v="2"/>
  </r>
  <r>
    <n v="10465"/>
    <d v="2022-11-10T00:00:00"/>
    <x v="3"/>
    <n v="12.99"/>
    <n v="554.27"/>
    <n v="7199.9673000000003"/>
    <x v="1"/>
    <x v="1"/>
    <x v="1"/>
    <x v="1"/>
    <x v="0"/>
    <x v="3"/>
  </r>
  <r>
    <n v="10466"/>
    <d v="2022-11-10T00:00:00"/>
    <x v="4"/>
    <n v="9.9499999999999993"/>
    <n v="201.01"/>
    <n v="2000.0494999999999"/>
    <x v="1"/>
    <x v="1"/>
    <x v="1"/>
    <x v="1"/>
    <x v="0"/>
    <x v="3"/>
  </r>
  <r>
    <n v="10467"/>
    <d v="2022-11-10T00:00:00"/>
    <x v="0"/>
    <n v="3.49"/>
    <n v="573.07000000000005"/>
    <n v="2000.0143000000003"/>
    <x v="1"/>
    <x v="1"/>
    <x v="1"/>
    <x v="1"/>
    <x v="0"/>
    <x v="3"/>
  </r>
  <r>
    <n v="10468"/>
    <d v="2022-11-10T00:00:00"/>
    <x v="1"/>
    <n v="2.95"/>
    <n v="677.97"/>
    <n v="2000.0115000000003"/>
    <x v="1"/>
    <x v="1"/>
    <x v="1"/>
    <x v="1"/>
    <x v="0"/>
    <x v="3"/>
  </r>
  <r>
    <n v="10470"/>
    <d v="2022-11-11T00:00:00"/>
    <x v="3"/>
    <n v="12.99"/>
    <n v="554.27"/>
    <n v="7199.9673000000003"/>
    <x v="1"/>
    <x v="1"/>
    <x v="1"/>
    <x v="1"/>
    <x v="0"/>
    <x v="4"/>
  </r>
  <r>
    <n v="10471"/>
    <d v="2022-11-11T00:00:00"/>
    <x v="4"/>
    <n v="9.9499999999999993"/>
    <n v="201.01"/>
    <n v="2000.0494999999999"/>
    <x v="1"/>
    <x v="1"/>
    <x v="1"/>
    <x v="1"/>
    <x v="0"/>
    <x v="4"/>
  </r>
  <r>
    <n v="10472"/>
    <d v="2022-11-11T00:00:00"/>
    <x v="0"/>
    <n v="3.49"/>
    <n v="630.37"/>
    <n v="2199.9913000000001"/>
    <x v="1"/>
    <x v="1"/>
    <x v="1"/>
    <x v="1"/>
    <x v="0"/>
    <x v="4"/>
  </r>
  <r>
    <n v="10473"/>
    <d v="2022-11-11T00:00:00"/>
    <x v="1"/>
    <n v="2.95"/>
    <n v="677.97"/>
    <n v="2000.0115000000003"/>
    <x v="1"/>
    <x v="1"/>
    <x v="1"/>
    <x v="1"/>
    <x v="0"/>
    <x v="4"/>
  </r>
  <r>
    <n v="10474"/>
    <d v="2022-11-11T00:00:00"/>
    <x v="2"/>
    <n v="4.99"/>
    <n v="200.4"/>
    <n v="999.99600000000009"/>
    <x v="1"/>
    <x v="1"/>
    <x v="1"/>
    <x v="1"/>
    <x v="0"/>
    <x v="4"/>
  </r>
  <r>
    <n v="10475"/>
    <d v="2022-11-12T00:00:00"/>
    <x v="3"/>
    <n v="12.99"/>
    <n v="523.48"/>
    <n v="6800.0052000000005"/>
    <x v="1"/>
    <x v="1"/>
    <x v="1"/>
    <x v="1"/>
    <x v="0"/>
    <x v="5"/>
  </r>
  <r>
    <n v="10476"/>
    <d v="2022-11-12T00:00:00"/>
    <x v="4"/>
    <n v="9.9499999999999993"/>
    <n v="201.01"/>
    <n v="2000.0494999999999"/>
    <x v="1"/>
    <x v="1"/>
    <x v="1"/>
    <x v="1"/>
    <x v="0"/>
    <x v="5"/>
  </r>
  <r>
    <n v="10477"/>
    <d v="2022-11-12T00:00:00"/>
    <x v="0"/>
    <n v="3.49"/>
    <n v="630.37"/>
    <n v="2199.9913000000001"/>
    <x v="1"/>
    <x v="1"/>
    <x v="1"/>
    <x v="1"/>
    <x v="0"/>
    <x v="5"/>
  </r>
  <r>
    <n v="10478"/>
    <d v="2022-11-12T00:00:00"/>
    <x v="1"/>
    <n v="2.95"/>
    <n v="677.97"/>
    <n v="2000.0115000000003"/>
    <x v="1"/>
    <x v="1"/>
    <x v="1"/>
    <x v="1"/>
    <x v="0"/>
    <x v="5"/>
  </r>
  <r>
    <n v="10479"/>
    <d v="2022-11-12T00:00:00"/>
    <x v="2"/>
    <n v="4.99"/>
    <n v="200.4"/>
    <n v="999.99600000000009"/>
    <x v="1"/>
    <x v="1"/>
    <x v="1"/>
    <x v="1"/>
    <x v="0"/>
    <x v="5"/>
  </r>
  <r>
    <n v="10480"/>
    <d v="2022-11-13T00:00:00"/>
    <x v="3"/>
    <n v="12.99"/>
    <n v="508.08"/>
    <n v="6599.9592000000002"/>
    <x v="1"/>
    <x v="1"/>
    <x v="1"/>
    <x v="1"/>
    <x v="0"/>
    <x v="6"/>
  </r>
  <r>
    <n v="10481"/>
    <d v="2022-11-13T00:00:00"/>
    <x v="4"/>
    <n v="9.9499999999999993"/>
    <n v="201.01"/>
    <n v="2000.0494999999999"/>
    <x v="1"/>
    <x v="1"/>
    <x v="1"/>
    <x v="1"/>
    <x v="0"/>
    <x v="6"/>
  </r>
  <r>
    <n v="10482"/>
    <d v="2022-11-13T00:00:00"/>
    <x v="0"/>
    <n v="25.5"/>
    <n v="630.37"/>
    <n v="16074.434999999999"/>
    <x v="1"/>
    <x v="1"/>
    <x v="2"/>
    <x v="2"/>
    <x v="0"/>
    <x v="6"/>
  </r>
  <r>
    <n v="10486"/>
    <d v="2022-11-14T00:00:00"/>
    <x v="4"/>
    <n v="29.05"/>
    <n v="201.01"/>
    <n v="5839.3405000000002"/>
    <x v="1"/>
    <x v="1"/>
    <x v="2"/>
    <x v="2"/>
    <x v="0"/>
    <x v="0"/>
  </r>
  <r>
    <n v="10487"/>
    <d v="2022-11-14T00:00:00"/>
    <x v="0"/>
    <n v="3.49"/>
    <n v="630.37"/>
    <n v="2199.9913000000001"/>
    <x v="1"/>
    <x v="1"/>
    <x v="2"/>
    <x v="2"/>
    <x v="0"/>
    <x v="0"/>
  </r>
  <r>
    <n v="10488"/>
    <d v="2022-11-14T00:00:00"/>
    <x v="1"/>
    <n v="2.95"/>
    <n v="677.97"/>
    <n v="2000.0115000000003"/>
    <x v="1"/>
    <x v="1"/>
    <x v="2"/>
    <x v="2"/>
    <x v="0"/>
    <x v="0"/>
  </r>
  <r>
    <n v="10489"/>
    <d v="2022-11-14T00:00:00"/>
    <x v="2"/>
    <n v="4.99"/>
    <n v="200.4"/>
    <n v="999.99600000000009"/>
    <x v="1"/>
    <x v="1"/>
    <x v="1"/>
    <x v="1"/>
    <x v="0"/>
    <x v="0"/>
  </r>
  <r>
    <n v="10490"/>
    <d v="2022-11-15T00:00:00"/>
    <x v="3"/>
    <n v="12.99"/>
    <n v="508.08"/>
    <n v="6599.9592000000002"/>
    <x v="1"/>
    <x v="1"/>
    <x v="1"/>
    <x v="1"/>
    <x v="0"/>
    <x v="1"/>
  </r>
  <r>
    <n v="10491"/>
    <d v="2022-11-15T00:00:00"/>
    <x v="4"/>
    <n v="9.9499999999999993"/>
    <n v="201.01"/>
    <n v="2000.0494999999999"/>
    <x v="1"/>
    <x v="1"/>
    <x v="1"/>
    <x v="1"/>
    <x v="0"/>
    <x v="1"/>
  </r>
  <r>
    <n v="10492"/>
    <d v="2022-11-15T00:00:00"/>
    <x v="0"/>
    <n v="3.49"/>
    <n v="573.07000000000005"/>
    <n v="2000.0143000000003"/>
    <x v="1"/>
    <x v="1"/>
    <x v="1"/>
    <x v="1"/>
    <x v="0"/>
    <x v="1"/>
  </r>
  <r>
    <n v="10493"/>
    <d v="2022-11-15T00:00:00"/>
    <x v="1"/>
    <n v="2.95"/>
    <n v="677.97"/>
    <n v="2000.0115000000003"/>
    <x v="1"/>
    <x v="1"/>
    <x v="1"/>
    <x v="1"/>
    <x v="0"/>
    <x v="1"/>
  </r>
  <r>
    <n v="10494"/>
    <d v="2022-11-15T00:00:00"/>
    <x v="2"/>
    <n v="4.99"/>
    <n v="200.4"/>
    <n v="999.99600000000009"/>
    <x v="1"/>
    <x v="1"/>
    <x v="1"/>
    <x v="1"/>
    <x v="0"/>
    <x v="1"/>
  </r>
  <r>
    <n v="10495"/>
    <d v="2022-11-16T00:00:00"/>
    <x v="3"/>
    <n v="12.99"/>
    <n v="508.08"/>
    <n v="6599.9592000000002"/>
    <x v="1"/>
    <x v="1"/>
    <x v="1"/>
    <x v="1"/>
    <x v="0"/>
    <x v="2"/>
  </r>
  <r>
    <n v="10496"/>
    <d v="2022-11-16T00:00:00"/>
    <x v="4"/>
    <n v="9.9499999999999993"/>
    <n v="201.01"/>
    <n v="2000.0494999999999"/>
    <x v="1"/>
    <x v="1"/>
    <x v="1"/>
    <x v="1"/>
    <x v="0"/>
    <x v="2"/>
  </r>
  <r>
    <n v="10497"/>
    <d v="2022-11-16T00:00:00"/>
    <x v="0"/>
    <n v="3.49"/>
    <n v="573.07000000000005"/>
    <n v="2000.0143000000003"/>
    <x v="1"/>
    <x v="1"/>
    <x v="1"/>
    <x v="1"/>
    <x v="0"/>
    <x v="2"/>
  </r>
  <r>
    <n v="10498"/>
    <d v="2022-11-16T00:00:00"/>
    <x v="1"/>
    <n v="2.95"/>
    <n v="677.97"/>
    <n v="2000.0115000000003"/>
    <x v="2"/>
    <x v="1"/>
    <x v="1"/>
    <x v="1"/>
    <x v="0"/>
    <x v="2"/>
  </r>
  <r>
    <n v="10499"/>
    <d v="2022-11-16T00:00:00"/>
    <x v="2"/>
    <n v="4.99"/>
    <n v="200.4"/>
    <n v="999.99600000000009"/>
    <x v="2"/>
    <x v="1"/>
    <x v="1"/>
    <x v="1"/>
    <x v="0"/>
    <x v="2"/>
  </r>
  <r>
    <n v="10500"/>
    <d v="2022-11-17T00:00:00"/>
    <x v="3"/>
    <n v="12.99"/>
    <n v="523.48"/>
    <n v="6800.0052000000005"/>
    <x v="2"/>
    <x v="1"/>
    <x v="1"/>
    <x v="1"/>
    <x v="0"/>
    <x v="3"/>
  </r>
  <r>
    <n v="10501"/>
    <d v="2022-11-17T00:00:00"/>
    <x v="4"/>
    <n v="9.9499999999999993"/>
    <n v="201.01"/>
    <n v="2000.0494999999999"/>
    <x v="2"/>
    <x v="1"/>
    <x v="1"/>
    <x v="1"/>
    <x v="0"/>
    <x v="3"/>
  </r>
  <r>
    <n v="10502"/>
    <d v="2022-11-17T00:00:00"/>
    <x v="0"/>
    <n v="3.49"/>
    <n v="630.37"/>
    <n v="2199.9913000000001"/>
    <x v="2"/>
    <x v="1"/>
    <x v="1"/>
    <x v="1"/>
    <x v="0"/>
    <x v="3"/>
  </r>
  <r>
    <n v="10503"/>
    <d v="2022-11-17T00:00:00"/>
    <x v="1"/>
    <n v="2.95"/>
    <n v="677.97"/>
    <n v="2000.0115000000003"/>
    <x v="2"/>
    <x v="1"/>
    <x v="1"/>
    <x v="1"/>
    <x v="0"/>
    <x v="3"/>
  </r>
  <r>
    <n v="10504"/>
    <d v="2022-11-17T00:00:00"/>
    <x v="2"/>
    <n v="4.99"/>
    <n v="200.4"/>
    <n v="999.99600000000009"/>
    <x v="2"/>
    <x v="1"/>
    <x v="1"/>
    <x v="1"/>
    <x v="0"/>
    <x v="3"/>
  </r>
  <r>
    <n v="10505"/>
    <d v="2022-11-18T00:00:00"/>
    <x v="3"/>
    <n v="12.99"/>
    <n v="538.88"/>
    <n v="7000.0511999999999"/>
    <x v="2"/>
    <x v="1"/>
    <x v="1"/>
    <x v="1"/>
    <x v="0"/>
    <x v="4"/>
  </r>
  <r>
    <n v="10506"/>
    <d v="2022-11-18T00:00:00"/>
    <x v="4"/>
    <n v="9.9499999999999993"/>
    <n v="201.01"/>
    <n v="2000.0494999999999"/>
    <x v="2"/>
    <x v="1"/>
    <x v="1"/>
    <x v="1"/>
    <x v="0"/>
    <x v="4"/>
  </r>
  <r>
    <n v="10507"/>
    <d v="2022-11-18T00:00:00"/>
    <x v="0"/>
    <n v="3.49"/>
    <n v="687.68"/>
    <n v="2400.0032000000001"/>
    <x v="2"/>
    <x v="1"/>
    <x v="1"/>
    <x v="1"/>
    <x v="0"/>
    <x v="4"/>
  </r>
  <r>
    <n v="10508"/>
    <d v="2022-11-18T00:00:00"/>
    <x v="1"/>
    <n v="2.95"/>
    <n v="677.97"/>
    <n v="2000.0115000000003"/>
    <x v="2"/>
    <x v="1"/>
    <x v="1"/>
    <x v="1"/>
    <x v="0"/>
    <x v="4"/>
  </r>
  <r>
    <n v="10509"/>
    <d v="2022-11-18T00:00:00"/>
    <x v="2"/>
    <n v="4.99"/>
    <n v="200.4"/>
    <n v="999.99600000000009"/>
    <x v="2"/>
    <x v="1"/>
    <x v="1"/>
    <x v="1"/>
    <x v="0"/>
    <x v="4"/>
  </r>
  <r>
    <n v="10510"/>
    <d v="2022-11-19T00:00:00"/>
    <x v="3"/>
    <n v="12.99"/>
    <n v="508.08"/>
    <n v="6599.9592000000002"/>
    <x v="2"/>
    <x v="1"/>
    <x v="1"/>
    <x v="1"/>
    <x v="0"/>
    <x v="5"/>
  </r>
  <r>
    <n v="10511"/>
    <d v="2022-11-19T00:00:00"/>
    <x v="4"/>
    <n v="9.9499999999999993"/>
    <n v="201.01"/>
    <n v="2000.0494999999999"/>
    <x v="2"/>
    <x v="1"/>
    <x v="2"/>
    <x v="2"/>
    <x v="0"/>
    <x v="5"/>
  </r>
  <r>
    <n v="10512"/>
    <d v="2022-11-19T00:00:00"/>
    <x v="0"/>
    <n v="3.49"/>
    <n v="687.68"/>
    <n v="2400.0032000000001"/>
    <x v="2"/>
    <x v="1"/>
    <x v="2"/>
    <x v="2"/>
    <x v="0"/>
    <x v="5"/>
  </r>
  <r>
    <n v="10513"/>
    <d v="2022-11-19T00:00:00"/>
    <x v="1"/>
    <n v="2.95"/>
    <n v="677.97"/>
    <n v="2000.0115000000003"/>
    <x v="2"/>
    <x v="2"/>
    <x v="2"/>
    <x v="2"/>
    <x v="0"/>
    <x v="5"/>
  </r>
  <r>
    <n v="10514"/>
    <d v="2022-11-19T00:00:00"/>
    <x v="2"/>
    <n v="4.99"/>
    <n v="200.4"/>
    <n v="999.99600000000009"/>
    <x v="2"/>
    <x v="2"/>
    <x v="2"/>
    <x v="2"/>
    <x v="0"/>
    <x v="5"/>
  </r>
  <r>
    <n v="10515"/>
    <d v="2022-11-20T00:00:00"/>
    <x v="3"/>
    <n v="12.99"/>
    <n v="477.29"/>
    <n v="6199.9971000000005"/>
    <x v="2"/>
    <x v="2"/>
    <x v="2"/>
    <x v="2"/>
    <x v="0"/>
    <x v="6"/>
  </r>
  <r>
    <n v="10516"/>
    <d v="2022-11-20T00:00:00"/>
    <x v="4"/>
    <n v="9.9499999999999993"/>
    <n v="201.01"/>
    <n v="2000.0494999999999"/>
    <x v="2"/>
    <x v="2"/>
    <x v="2"/>
    <x v="2"/>
    <x v="0"/>
    <x v="6"/>
  </r>
  <r>
    <n v="10483"/>
    <d v="2022-11-13T00:00:00"/>
    <x v="1"/>
    <n v="2.95"/>
    <n v="677.97"/>
    <n v="2000.0115000000003"/>
    <x v="1"/>
    <x v="1"/>
    <x v="2"/>
    <x v="2"/>
    <x v="0"/>
    <x v="6"/>
  </r>
  <r>
    <n v="10484"/>
    <d v="2022-11-13T00:00:00"/>
    <x v="2"/>
    <n v="4.99"/>
    <n v="200.4"/>
    <n v="999.99600000000009"/>
    <x v="1"/>
    <x v="1"/>
    <x v="2"/>
    <x v="2"/>
    <x v="0"/>
    <x v="6"/>
  </r>
  <r>
    <n v="10485"/>
    <d v="2022-11-14T00:00:00"/>
    <x v="3"/>
    <n v="12.99"/>
    <n v="523.48"/>
    <n v="6800.0052000000005"/>
    <x v="1"/>
    <x v="1"/>
    <x v="2"/>
    <x v="2"/>
    <x v="0"/>
    <x v="0"/>
  </r>
  <r>
    <n v="10520"/>
    <d v="2022-11-21T00:00:00"/>
    <x v="3"/>
    <n v="12.99"/>
    <n v="492.69"/>
    <n v="6400.0430999999999"/>
    <x v="2"/>
    <x v="2"/>
    <x v="4"/>
    <x v="4"/>
    <x v="0"/>
    <x v="0"/>
  </r>
  <r>
    <n v="10521"/>
    <d v="2022-11-21T00:00:00"/>
    <x v="4"/>
    <n v="9.9499999999999993"/>
    <n v="201.01"/>
    <n v="2000.0494999999999"/>
    <x v="2"/>
    <x v="2"/>
    <x v="4"/>
    <x v="4"/>
    <x v="0"/>
    <x v="0"/>
  </r>
  <r>
    <n v="10522"/>
    <d v="2022-11-21T00:00:00"/>
    <x v="0"/>
    <n v="3.49"/>
    <n v="687.68"/>
    <n v="2400.0032000000001"/>
    <x v="2"/>
    <x v="2"/>
    <x v="4"/>
    <x v="4"/>
    <x v="0"/>
    <x v="0"/>
  </r>
  <r>
    <n v="10523"/>
    <d v="2022-11-21T00:00:00"/>
    <x v="1"/>
    <n v="2.95"/>
    <n v="745.76"/>
    <n v="2199.9920000000002"/>
    <x v="2"/>
    <x v="2"/>
    <x v="4"/>
    <x v="4"/>
    <x v="0"/>
    <x v="0"/>
  </r>
  <r>
    <n v="10524"/>
    <d v="2022-11-21T00:00:00"/>
    <x v="2"/>
    <n v="4.99"/>
    <n v="200.4"/>
    <n v="999.99600000000009"/>
    <x v="2"/>
    <x v="2"/>
    <x v="4"/>
    <x v="4"/>
    <x v="0"/>
    <x v="0"/>
  </r>
  <r>
    <n v="10525"/>
    <d v="2022-11-22T00:00:00"/>
    <x v="3"/>
    <n v="12.99"/>
    <n v="461.89"/>
    <n v="5999.9511000000002"/>
    <x v="2"/>
    <x v="2"/>
    <x v="4"/>
    <x v="4"/>
    <x v="0"/>
    <x v="1"/>
  </r>
  <r>
    <n v="10526"/>
    <d v="2022-11-22T00:00:00"/>
    <x v="4"/>
    <n v="9.9499999999999993"/>
    <n v="201.01"/>
    <n v="2000.0494999999999"/>
    <x v="2"/>
    <x v="2"/>
    <x v="4"/>
    <x v="4"/>
    <x v="0"/>
    <x v="1"/>
  </r>
  <r>
    <n v="10527"/>
    <d v="2022-11-22T00:00:00"/>
    <x v="0"/>
    <n v="3.49"/>
    <n v="687.68"/>
    <n v="2400.0032000000001"/>
    <x v="2"/>
    <x v="2"/>
    <x v="4"/>
    <x v="4"/>
    <x v="0"/>
    <x v="1"/>
  </r>
  <r>
    <n v="10528"/>
    <d v="2022-11-22T00:00:00"/>
    <x v="1"/>
    <n v="2.95"/>
    <n v="745.76"/>
    <n v="2199.9920000000002"/>
    <x v="2"/>
    <x v="2"/>
    <x v="4"/>
    <x v="4"/>
    <x v="0"/>
    <x v="1"/>
  </r>
  <r>
    <n v="10529"/>
    <d v="2022-11-22T00:00:00"/>
    <x v="2"/>
    <n v="4.99"/>
    <n v="200.4"/>
    <n v="999.99600000000009"/>
    <x v="2"/>
    <x v="2"/>
    <x v="4"/>
    <x v="4"/>
    <x v="0"/>
    <x v="1"/>
  </r>
  <r>
    <n v="10530"/>
    <d v="2022-11-23T00:00:00"/>
    <x v="3"/>
    <n v="12.99"/>
    <n v="477.29"/>
    <n v="6199.9971000000005"/>
    <x v="2"/>
    <x v="2"/>
    <x v="4"/>
    <x v="4"/>
    <x v="0"/>
    <x v="2"/>
  </r>
  <r>
    <n v="10531"/>
    <d v="2022-11-23T00:00:00"/>
    <x v="4"/>
    <n v="9.9499999999999993"/>
    <n v="201.01"/>
    <n v="2000.0494999999999"/>
    <x v="2"/>
    <x v="2"/>
    <x v="4"/>
    <x v="4"/>
    <x v="0"/>
    <x v="2"/>
  </r>
  <r>
    <n v="10532"/>
    <d v="2022-11-23T00:00:00"/>
    <x v="0"/>
    <n v="3.49"/>
    <n v="687.68"/>
    <n v="2400.0032000000001"/>
    <x v="2"/>
    <x v="2"/>
    <x v="2"/>
    <x v="2"/>
    <x v="0"/>
    <x v="2"/>
  </r>
  <r>
    <n v="10533"/>
    <d v="2022-11-23T00:00:00"/>
    <x v="1"/>
    <n v="2.95"/>
    <n v="745.76"/>
    <n v="2199.9920000000002"/>
    <x v="2"/>
    <x v="2"/>
    <x v="2"/>
    <x v="2"/>
    <x v="0"/>
    <x v="2"/>
  </r>
  <r>
    <n v="10534"/>
    <d v="2022-11-23T00:00:00"/>
    <x v="2"/>
    <n v="4.99"/>
    <n v="200.4"/>
    <n v="999.99600000000009"/>
    <x v="2"/>
    <x v="2"/>
    <x v="1"/>
    <x v="1"/>
    <x v="0"/>
    <x v="2"/>
  </r>
  <r>
    <n v="10535"/>
    <d v="2022-11-24T00:00:00"/>
    <x v="3"/>
    <n v="12.99"/>
    <n v="477.29"/>
    <n v="6199.9971000000005"/>
    <x v="2"/>
    <x v="1"/>
    <x v="1"/>
    <x v="1"/>
    <x v="0"/>
    <x v="3"/>
  </r>
  <r>
    <n v="10536"/>
    <d v="2022-11-24T00:00:00"/>
    <x v="4"/>
    <n v="9.9499999999999993"/>
    <n v="201.01"/>
    <n v="2000.0494999999999"/>
    <x v="2"/>
    <x v="1"/>
    <x v="1"/>
    <x v="1"/>
    <x v="0"/>
    <x v="3"/>
  </r>
  <r>
    <n v="10540"/>
    <d v="2022-11-25T00:00:00"/>
    <x v="3"/>
    <n v="12.99"/>
    <n v="461.89"/>
    <n v="5999.9511000000002"/>
    <x v="2"/>
    <x v="1"/>
    <x v="1"/>
    <x v="1"/>
    <x v="0"/>
    <x v="4"/>
  </r>
  <r>
    <n v="10541"/>
    <d v="2022-11-25T00:00:00"/>
    <x v="4"/>
    <n v="9.9499999999999993"/>
    <n v="201.01"/>
    <n v="2000.0494999999999"/>
    <x v="2"/>
    <x v="1"/>
    <x v="0"/>
    <x v="0"/>
    <x v="0"/>
    <x v="4"/>
  </r>
  <r>
    <n v="10542"/>
    <d v="2022-11-25T00:00:00"/>
    <x v="0"/>
    <n v="3.49"/>
    <n v="630.37"/>
    <n v="2199.9913000000001"/>
    <x v="2"/>
    <x v="1"/>
    <x v="0"/>
    <x v="0"/>
    <x v="0"/>
    <x v="4"/>
  </r>
  <r>
    <n v="10543"/>
    <d v="2022-11-25T00:00:00"/>
    <x v="1"/>
    <n v="2.95"/>
    <n v="745.76"/>
    <n v="2199.9920000000002"/>
    <x v="2"/>
    <x v="1"/>
    <x v="0"/>
    <x v="0"/>
    <x v="0"/>
    <x v="4"/>
  </r>
  <r>
    <n v="10544"/>
    <d v="2022-11-25T00:00:00"/>
    <x v="2"/>
    <n v="4.99"/>
    <n v="200.4"/>
    <n v="999.99600000000009"/>
    <x v="2"/>
    <x v="1"/>
    <x v="0"/>
    <x v="0"/>
    <x v="0"/>
    <x v="4"/>
  </r>
  <r>
    <n v="10545"/>
    <d v="2022-11-26T00:00:00"/>
    <x v="3"/>
    <n v="12.99"/>
    <n v="446.5"/>
    <n v="5800.0349999999999"/>
    <x v="2"/>
    <x v="1"/>
    <x v="0"/>
    <x v="0"/>
    <x v="0"/>
    <x v="5"/>
  </r>
  <r>
    <n v="10546"/>
    <d v="2022-11-26T00:00:00"/>
    <x v="4"/>
    <n v="9.9499999999999993"/>
    <n v="201.01"/>
    <n v="2000.0494999999999"/>
    <x v="2"/>
    <x v="1"/>
    <x v="0"/>
    <x v="0"/>
    <x v="0"/>
    <x v="5"/>
  </r>
  <r>
    <n v="10547"/>
    <d v="2022-11-26T00:00:00"/>
    <x v="0"/>
    <n v="3.49"/>
    <n v="630.37"/>
    <n v="2199.9913000000001"/>
    <x v="2"/>
    <x v="1"/>
    <x v="0"/>
    <x v="0"/>
    <x v="0"/>
    <x v="5"/>
  </r>
  <r>
    <n v="10548"/>
    <d v="2022-11-26T00:00:00"/>
    <x v="1"/>
    <n v="2.95"/>
    <n v="745.76"/>
    <n v="2199.9920000000002"/>
    <x v="2"/>
    <x v="1"/>
    <x v="0"/>
    <x v="0"/>
    <x v="0"/>
    <x v="5"/>
  </r>
  <r>
    <n v="10549"/>
    <d v="2022-11-26T00:00:00"/>
    <x v="2"/>
    <n v="4.99"/>
    <n v="200.4"/>
    <n v="999.99600000000009"/>
    <x v="2"/>
    <x v="1"/>
    <x v="0"/>
    <x v="0"/>
    <x v="0"/>
    <x v="5"/>
  </r>
  <r>
    <n v="10550"/>
    <d v="2022-11-27T00:00:00"/>
    <x v="3"/>
    <n v="12.99"/>
    <n v="461.89"/>
    <n v="5999.9511000000002"/>
    <x v="2"/>
    <x v="1"/>
    <x v="0"/>
    <x v="0"/>
    <x v="0"/>
    <x v="6"/>
  </r>
  <r>
    <n v="10551"/>
    <d v="2022-11-27T00:00:00"/>
    <x v="4"/>
    <n v="9.9499999999999993"/>
    <n v="201.01"/>
    <n v="2000.0494999999999"/>
    <x v="2"/>
    <x v="1"/>
    <x v="0"/>
    <x v="0"/>
    <x v="0"/>
    <x v="6"/>
  </r>
  <r>
    <n v="10552"/>
    <d v="2022-11-27T00:00:00"/>
    <x v="0"/>
    <n v="3.49"/>
    <n v="630.37"/>
    <n v="2199.9913000000001"/>
    <x v="0"/>
    <x v="1"/>
    <x v="0"/>
    <x v="0"/>
    <x v="0"/>
    <x v="6"/>
  </r>
  <r>
    <n v="10553"/>
    <d v="2022-11-27T00:00:00"/>
    <x v="1"/>
    <n v="2.95"/>
    <n v="745.76"/>
    <n v="2199.9920000000002"/>
    <x v="0"/>
    <x v="1"/>
    <x v="0"/>
    <x v="0"/>
    <x v="0"/>
    <x v="6"/>
  </r>
  <r>
    <n v="10554"/>
    <d v="2022-11-27T00:00:00"/>
    <x v="2"/>
    <n v="4.99"/>
    <n v="200.4"/>
    <n v="999.99600000000009"/>
    <x v="0"/>
    <x v="1"/>
    <x v="0"/>
    <x v="0"/>
    <x v="0"/>
    <x v="6"/>
  </r>
  <r>
    <n v="10555"/>
    <d v="2022-11-28T00:00:00"/>
    <x v="3"/>
    <n v="12.99"/>
    <n v="477.29"/>
    <n v="6199.9971000000005"/>
    <x v="0"/>
    <x v="1"/>
    <x v="0"/>
    <x v="0"/>
    <x v="0"/>
    <x v="0"/>
  </r>
  <r>
    <n v="10556"/>
    <d v="2022-11-28T00:00:00"/>
    <x v="4"/>
    <n v="9.9499999999999993"/>
    <n v="201.01"/>
    <n v="2000.0494999999999"/>
    <x v="0"/>
    <x v="1"/>
    <x v="0"/>
    <x v="0"/>
    <x v="0"/>
    <x v="0"/>
  </r>
  <r>
    <n v="10557"/>
    <d v="2022-11-28T00:00:00"/>
    <x v="0"/>
    <n v="3.49"/>
    <n v="630.37"/>
    <n v="2199.9913000000001"/>
    <x v="0"/>
    <x v="1"/>
    <x v="0"/>
    <x v="0"/>
    <x v="0"/>
    <x v="0"/>
  </r>
  <r>
    <n v="10558"/>
    <d v="2022-11-28T00:00:00"/>
    <x v="1"/>
    <n v="2.95"/>
    <n v="677.97"/>
    <n v="2000.0115000000003"/>
    <x v="0"/>
    <x v="1"/>
    <x v="0"/>
    <x v="0"/>
    <x v="0"/>
    <x v="0"/>
  </r>
  <r>
    <n v="10559"/>
    <d v="2022-11-28T00:00:00"/>
    <x v="2"/>
    <n v="4.99"/>
    <n v="200.4"/>
    <n v="999.99600000000009"/>
    <x v="0"/>
    <x v="1"/>
    <x v="0"/>
    <x v="0"/>
    <x v="0"/>
    <x v="0"/>
  </r>
  <r>
    <n v="10560"/>
    <d v="2022-11-29T00:00:00"/>
    <x v="3"/>
    <n v="12.99"/>
    <n v="477.29"/>
    <n v="6199.9971000000005"/>
    <x v="0"/>
    <x v="1"/>
    <x v="0"/>
    <x v="0"/>
    <x v="0"/>
    <x v="1"/>
  </r>
  <r>
    <n v="10561"/>
    <d v="2022-11-29T00:00:00"/>
    <x v="4"/>
    <n v="9.9499999999999993"/>
    <n v="201.01"/>
    <n v="2000.0494999999999"/>
    <x v="0"/>
    <x v="1"/>
    <x v="0"/>
    <x v="0"/>
    <x v="0"/>
    <x v="1"/>
  </r>
  <r>
    <n v="10562"/>
    <d v="2022-11-29T00:00:00"/>
    <x v="0"/>
    <n v="3.49"/>
    <n v="630.37"/>
    <n v="2199.9913000000001"/>
    <x v="0"/>
    <x v="1"/>
    <x v="0"/>
    <x v="0"/>
    <x v="0"/>
    <x v="1"/>
  </r>
  <r>
    <n v="10563"/>
    <d v="2022-11-29T00:00:00"/>
    <x v="1"/>
    <n v="2.95"/>
    <n v="677.97"/>
    <n v="2000.0115000000003"/>
    <x v="0"/>
    <x v="1"/>
    <x v="0"/>
    <x v="0"/>
    <x v="0"/>
    <x v="1"/>
  </r>
  <r>
    <n v="10564"/>
    <d v="2022-11-29T00:00:00"/>
    <x v="2"/>
    <n v="4.99"/>
    <n v="200.4"/>
    <n v="999.99600000000009"/>
    <x v="0"/>
    <x v="1"/>
    <x v="0"/>
    <x v="0"/>
    <x v="0"/>
    <x v="1"/>
  </r>
  <r>
    <n v="10565"/>
    <d v="2022-11-30T00:00:00"/>
    <x v="3"/>
    <n v="12.99"/>
    <n v="492.69"/>
    <n v="6400.0430999999999"/>
    <x v="0"/>
    <x v="1"/>
    <x v="0"/>
    <x v="0"/>
    <x v="0"/>
    <x v="2"/>
  </r>
  <r>
    <n v="10566"/>
    <d v="2022-11-30T00:00:00"/>
    <x v="4"/>
    <n v="9.9499999999999993"/>
    <n v="201.01"/>
    <n v="2000.0494999999999"/>
    <x v="0"/>
    <x v="1"/>
    <x v="0"/>
    <x v="0"/>
    <x v="0"/>
    <x v="2"/>
  </r>
  <r>
    <n v="10567"/>
    <d v="2022-11-30T00:00:00"/>
    <x v="0"/>
    <n v="3.49"/>
    <n v="630.37"/>
    <n v="2199.9913000000001"/>
    <x v="0"/>
    <x v="1"/>
    <x v="0"/>
    <x v="0"/>
    <x v="0"/>
    <x v="2"/>
  </r>
  <r>
    <n v="10568"/>
    <d v="2022-11-30T00:00:00"/>
    <x v="1"/>
    <n v="2.95"/>
    <n v="677.97"/>
    <n v="2000.0115000000003"/>
    <x v="0"/>
    <x v="1"/>
    <x v="0"/>
    <x v="0"/>
    <x v="0"/>
    <x v="2"/>
  </r>
  <r>
    <n v="10569"/>
    <d v="2022-11-30T00:00:00"/>
    <x v="2"/>
    <n v="4.99"/>
    <n v="200.4"/>
    <n v="999.99600000000009"/>
    <x v="0"/>
    <x v="1"/>
    <x v="0"/>
    <x v="0"/>
    <x v="0"/>
    <x v="2"/>
  </r>
  <r>
    <n v="10570"/>
    <d v="2022-12-01T00:00:00"/>
    <x v="3"/>
    <n v="12.99"/>
    <n v="492.69"/>
    <n v="6400.0430999999999"/>
    <x v="0"/>
    <x v="1"/>
    <x v="0"/>
    <x v="0"/>
    <x v="1"/>
    <x v="3"/>
  </r>
  <r>
    <n v="10571"/>
    <d v="2022-12-01T00:00:00"/>
    <x v="4"/>
    <n v="9.9499999999999993"/>
    <n v="201.01"/>
    <n v="2000.0494999999999"/>
    <x v="0"/>
    <x v="1"/>
    <x v="0"/>
    <x v="0"/>
    <x v="1"/>
    <x v="3"/>
  </r>
  <r>
    <n v="10572"/>
    <d v="2022-12-01T00:00:00"/>
    <x v="0"/>
    <n v="3.49"/>
    <n v="573.07000000000005"/>
    <n v="2000.0143000000003"/>
    <x v="0"/>
    <x v="1"/>
    <x v="4"/>
    <x v="4"/>
    <x v="1"/>
    <x v="3"/>
  </r>
  <r>
    <n v="10573"/>
    <d v="2022-12-01T00:00:00"/>
    <x v="1"/>
    <n v="2.95"/>
    <n v="677.97"/>
    <n v="2000.0115000000003"/>
    <x v="0"/>
    <x v="1"/>
    <x v="4"/>
    <x v="4"/>
    <x v="1"/>
    <x v="3"/>
  </r>
  <r>
    <n v="10574"/>
    <d v="2022-12-01T00:00:00"/>
    <x v="2"/>
    <n v="4.99"/>
    <n v="200.4"/>
    <n v="999.99600000000009"/>
    <x v="0"/>
    <x v="1"/>
    <x v="4"/>
    <x v="4"/>
    <x v="1"/>
    <x v="3"/>
  </r>
  <r>
    <n v="10575"/>
    <d v="2022-12-02T00:00:00"/>
    <x v="3"/>
    <n v="12.99"/>
    <n v="523.48"/>
    <n v="6800.0052000000005"/>
    <x v="0"/>
    <x v="1"/>
    <x v="4"/>
    <x v="4"/>
    <x v="1"/>
    <x v="4"/>
  </r>
  <r>
    <n v="10576"/>
    <d v="2022-12-02T00:00:00"/>
    <x v="4"/>
    <n v="9.9499999999999993"/>
    <n v="201.01"/>
    <n v="2000.0494999999999"/>
    <x v="0"/>
    <x v="1"/>
    <x v="4"/>
    <x v="4"/>
    <x v="1"/>
    <x v="4"/>
  </r>
  <r>
    <n v="10577"/>
    <d v="2022-12-02T00:00:00"/>
    <x v="0"/>
    <n v="3.49"/>
    <n v="630.37"/>
    <n v="2199.9913000000001"/>
    <x v="0"/>
    <x v="1"/>
    <x v="4"/>
    <x v="4"/>
    <x v="1"/>
    <x v="4"/>
  </r>
  <r>
    <n v="10578"/>
    <d v="2022-12-02T00:00:00"/>
    <x v="1"/>
    <n v="2.95"/>
    <n v="677.97"/>
    <n v="2000.0115000000003"/>
    <x v="0"/>
    <x v="1"/>
    <x v="4"/>
    <x v="4"/>
    <x v="1"/>
    <x v="4"/>
  </r>
  <r>
    <n v="10579"/>
    <d v="2022-12-02T00:00:00"/>
    <x v="2"/>
    <n v="4.99"/>
    <n v="200.4"/>
    <n v="999.99600000000009"/>
    <x v="0"/>
    <x v="1"/>
    <x v="4"/>
    <x v="4"/>
    <x v="1"/>
    <x v="4"/>
  </r>
  <r>
    <n v="10580"/>
    <d v="2022-12-03T00:00:00"/>
    <x v="3"/>
    <n v="12.99"/>
    <n v="523.48"/>
    <n v="6800.0052000000005"/>
    <x v="0"/>
    <x v="1"/>
    <x v="4"/>
    <x v="4"/>
    <x v="1"/>
    <x v="5"/>
  </r>
  <r>
    <n v="10581"/>
    <d v="2022-12-03T00:00:00"/>
    <x v="4"/>
    <n v="9.9499999999999993"/>
    <n v="201.01"/>
    <n v="2000.0494999999999"/>
    <x v="0"/>
    <x v="1"/>
    <x v="4"/>
    <x v="4"/>
    <x v="1"/>
    <x v="5"/>
  </r>
  <r>
    <n v="10582"/>
    <d v="2022-12-03T00:00:00"/>
    <x v="0"/>
    <n v="3.49"/>
    <n v="630.37"/>
    <n v="2199.9913000000001"/>
    <x v="0"/>
    <x v="1"/>
    <x v="0"/>
    <x v="0"/>
    <x v="1"/>
    <x v="5"/>
  </r>
  <r>
    <n v="10583"/>
    <d v="2022-12-03T00:00:00"/>
    <x v="1"/>
    <n v="2.95"/>
    <n v="677.97"/>
    <n v="2000.0115000000003"/>
    <x v="0"/>
    <x v="1"/>
    <x v="0"/>
    <x v="0"/>
    <x v="1"/>
    <x v="5"/>
  </r>
  <r>
    <n v="10584"/>
    <d v="2022-12-03T00:00:00"/>
    <x v="2"/>
    <n v="4.99"/>
    <n v="200.4"/>
    <n v="999.99600000000009"/>
    <x v="0"/>
    <x v="1"/>
    <x v="0"/>
    <x v="0"/>
    <x v="1"/>
    <x v="5"/>
  </r>
  <r>
    <n v="10585"/>
    <d v="2022-12-04T00:00:00"/>
    <x v="3"/>
    <n v="12.99"/>
    <n v="538.88"/>
    <n v="7000.0511999999999"/>
    <x v="0"/>
    <x v="1"/>
    <x v="0"/>
    <x v="0"/>
    <x v="1"/>
    <x v="6"/>
  </r>
  <r>
    <n v="10586"/>
    <d v="2022-12-04T00:00:00"/>
    <x v="4"/>
    <n v="9.9499999999999993"/>
    <n v="201.01"/>
    <n v="2000.0494999999999"/>
    <x v="0"/>
    <x v="1"/>
    <x v="0"/>
    <x v="0"/>
    <x v="1"/>
    <x v="6"/>
  </r>
  <r>
    <n v="10537"/>
    <d v="2022-11-24T00:00:00"/>
    <x v="0"/>
    <n v="3.49"/>
    <n v="630.37"/>
    <n v="2199.9913000000001"/>
    <x v="2"/>
    <x v="1"/>
    <x v="1"/>
    <x v="1"/>
    <x v="0"/>
    <x v="3"/>
  </r>
  <r>
    <n v="10538"/>
    <d v="2022-11-24T00:00:00"/>
    <x v="1"/>
    <n v="2.95"/>
    <n v="745.76"/>
    <n v="2199.9920000000002"/>
    <x v="2"/>
    <x v="1"/>
    <x v="1"/>
    <x v="1"/>
    <x v="0"/>
    <x v="3"/>
  </r>
  <r>
    <n v="10539"/>
    <d v="2022-11-24T00:00:00"/>
    <x v="2"/>
    <n v="4.99"/>
    <n v="200.4"/>
    <n v="999.99600000000009"/>
    <x v="2"/>
    <x v="1"/>
    <x v="1"/>
    <x v="1"/>
    <x v="0"/>
    <x v="3"/>
  </r>
  <r>
    <n v="10590"/>
    <d v="2022-12-05T00:00:00"/>
    <x v="3"/>
    <n v="12.99"/>
    <n v="554.27"/>
    <n v="7199.9673000000003"/>
    <x v="0"/>
    <x v="1"/>
    <x v="0"/>
    <x v="0"/>
    <x v="1"/>
    <x v="0"/>
  </r>
  <r>
    <n v="10591"/>
    <d v="2022-12-05T00:00:00"/>
    <x v="4"/>
    <n v="9.9499999999999993"/>
    <n v="201.01"/>
    <n v="2000.0494999999999"/>
    <x v="0"/>
    <x v="1"/>
    <x v="0"/>
    <x v="0"/>
    <x v="1"/>
    <x v="0"/>
  </r>
  <r>
    <n v="10592"/>
    <d v="2022-12-05T00:00:00"/>
    <x v="0"/>
    <n v="3.49"/>
    <n v="573.07000000000005"/>
    <n v="2000.0143000000003"/>
    <x v="0"/>
    <x v="1"/>
    <x v="0"/>
    <x v="0"/>
    <x v="1"/>
    <x v="0"/>
  </r>
  <r>
    <n v="10593"/>
    <d v="2022-12-05T00:00:00"/>
    <x v="1"/>
    <n v="2.95"/>
    <n v="677.97"/>
    <n v="2000.0115000000003"/>
    <x v="0"/>
    <x v="1"/>
    <x v="0"/>
    <x v="0"/>
    <x v="1"/>
    <x v="0"/>
  </r>
  <r>
    <n v="10594"/>
    <d v="2022-12-05T00:00:00"/>
    <x v="2"/>
    <n v="4.99"/>
    <n v="200.4"/>
    <n v="999.99600000000009"/>
    <x v="0"/>
    <x v="1"/>
    <x v="0"/>
    <x v="0"/>
    <x v="1"/>
    <x v="0"/>
  </r>
  <r>
    <n v="10595"/>
    <d v="2022-12-06T00:00:00"/>
    <x v="3"/>
    <n v="12.99"/>
    <n v="538.88"/>
    <n v="7000.0511999999999"/>
    <x v="0"/>
    <x v="1"/>
    <x v="0"/>
    <x v="0"/>
    <x v="1"/>
    <x v="1"/>
  </r>
  <r>
    <n v="10596"/>
    <d v="2022-12-06T00:00:00"/>
    <x v="4"/>
    <n v="9.9499999999999993"/>
    <n v="201.01"/>
    <n v="2000.0494999999999"/>
    <x v="0"/>
    <x v="1"/>
    <x v="0"/>
    <x v="0"/>
    <x v="1"/>
    <x v="1"/>
  </r>
  <r>
    <n v="10597"/>
    <d v="2022-12-06T00:00:00"/>
    <x v="0"/>
    <n v="3.49"/>
    <n v="573.07000000000005"/>
    <n v="2000.0143000000003"/>
    <x v="0"/>
    <x v="1"/>
    <x v="0"/>
    <x v="0"/>
    <x v="1"/>
    <x v="1"/>
  </r>
  <r>
    <n v="10598"/>
    <d v="2022-12-06T00:00:00"/>
    <x v="1"/>
    <n v="2.95"/>
    <n v="677.97"/>
    <n v="2000.0115000000003"/>
    <x v="0"/>
    <x v="1"/>
    <x v="0"/>
    <x v="0"/>
    <x v="1"/>
    <x v="1"/>
  </r>
  <r>
    <n v="10599"/>
    <d v="2022-12-06T00:00:00"/>
    <x v="2"/>
    <n v="4.99"/>
    <n v="200.4"/>
    <n v="999.99600000000009"/>
    <x v="0"/>
    <x v="1"/>
    <x v="0"/>
    <x v="0"/>
    <x v="1"/>
    <x v="1"/>
  </r>
  <r>
    <n v="10600"/>
    <d v="2022-12-07T00:00:00"/>
    <x v="3"/>
    <n v="12.99"/>
    <n v="523.48"/>
    <n v="6800.0052000000005"/>
    <x v="0"/>
    <x v="1"/>
    <x v="0"/>
    <x v="0"/>
    <x v="1"/>
    <x v="2"/>
  </r>
  <r>
    <n v="10601"/>
    <d v="2022-12-07T00:00:00"/>
    <x v="4"/>
    <n v="9.9499999999999993"/>
    <n v="201.01"/>
    <n v="2000.0494999999999"/>
    <x v="0"/>
    <x v="1"/>
    <x v="0"/>
    <x v="0"/>
    <x v="1"/>
    <x v="2"/>
  </r>
  <r>
    <n v="10602"/>
    <d v="2022-12-07T00:00:00"/>
    <x v="0"/>
    <n v="3.49"/>
    <n v="630.37"/>
    <n v="2199.9913000000001"/>
    <x v="0"/>
    <x v="2"/>
    <x v="0"/>
    <x v="0"/>
    <x v="1"/>
    <x v="2"/>
  </r>
  <r>
    <n v="10603"/>
    <d v="2022-12-07T00:00:00"/>
    <x v="1"/>
    <n v="2.95"/>
    <n v="677.97"/>
    <n v="2000.0115000000003"/>
    <x v="0"/>
    <x v="2"/>
    <x v="0"/>
    <x v="0"/>
    <x v="1"/>
    <x v="2"/>
  </r>
  <r>
    <n v="10604"/>
    <d v="2022-12-07T00:00:00"/>
    <x v="2"/>
    <n v="4.99"/>
    <n v="200.4"/>
    <n v="999.99600000000009"/>
    <x v="0"/>
    <x v="2"/>
    <x v="0"/>
    <x v="0"/>
    <x v="1"/>
    <x v="2"/>
  </r>
  <r>
    <n v="10605"/>
    <d v="2022-12-08T00:00:00"/>
    <x v="3"/>
    <n v="12.99"/>
    <n v="538.88"/>
    <n v="7000.0511999999999"/>
    <x v="0"/>
    <x v="2"/>
    <x v="0"/>
    <x v="0"/>
    <x v="1"/>
    <x v="3"/>
  </r>
  <r>
    <n v="10606"/>
    <d v="2022-12-08T00:00:00"/>
    <x v="4"/>
    <n v="9.9499999999999993"/>
    <n v="201.01"/>
    <n v="2000.0494999999999"/>
    <x v="0"/>
    <x v="2"/>
    <x v="0"/>
    <x v="0"/>
    <x v="1"/>
    <x v="3"/>
  </r>
  <r>
    <n v="10607"/>
    <d v="2022-12-08T00:00:00"/>
    <x v="0"/>
    <n v="3.49"/>
    <n v="630.37"/>
    <n v="2199.9913000000001"/>
    <x v="0"/>
    <x v="2"/>
    <x v="0"/>
    <x v="0"/>
    <x v="1"/>
    <x v="3"/>
  </r>
  <r>
    <n v="10608"/>
    <d v="2022-12-08T00:00:00"/>
    <x v="1"/>
    <n v="2.95"/>
    <n v="677.97"/>
    <n v="2000.0115000000003"/>
    <x v="0"/>
    <x v="0"/>
    <x v="0"/>
    <x v="0"/>
    <x v="1"/>
    <x v="3"/>
  </r>
  <r>
    <n v="10609"/>
    <d v="2022-12-08T00:00:00"/>
    <x v="2"/>
    <n v="4.99"/>
    <n v="200.4"/>
    <n v="999.99600000000009"/>
    <x v="0"/>
    <x v="0"/>
    <x v="0"/>
    <x v="0"/>
    <x v="1"/>
    <x v="3"/>
  </r>
  <r>
    <n v="10610"/>
    <d v="2022-12-09T00:00:00"/>
    <x v="3"/>
    <n v="12.99"/>
    <n v="569.66999999999996"/>
    <n v="7400.0132999999996"/>
    <x v="0"/>
    <x v="0"/>
    <x v="0"/>
    <x v="0"/>
    <x v="1"/>
    <x v="4"/>
  </r>
  <r>
    <n v="10611"/>
    <d v="2022-12-09T00:00:00"/>
    <x v="4"/>
    <n v="9.9499999999999993"/>
    <n v="201.01"/>
    <n v="2000.0494999999999"/>
    <x v="0"/>
    <x v="0"/>
    <x v="0"/>
    <x v="0"/>
    <x v="1"/>
    <x v="4"/>
  </r>
  <r>
    <n v="10612"/>
    <d v="2022-12-09T00:00:00"/>
    <x v="0"/>
    <n v="3.49"/>
    <n v="630.37"/>
    <n v="2199.9913000000001"/>
    <x v="0"/>
    <x v="0"/>
    <x v="0"/>
    <x v="0"/>
    <x v="1"/>
    <x v="4"/>
  </r>
  <r>
    <n v="10613"/>
    <d v="2022-12-09T00:00:00"/>
    <x v="1"/>
    <n v="2.95"/>
    <n v="677.97"/>
    <n v="2000.0115000000003"/>
    <x v="0"/>
    <x v="0"/>
    <x v="0"/>
    <x v="0"/>
    <x v="1"/>
    <x v="4"/>
  </r>
  <r>
    <n v="10614"/>
    <d v="2022-12-09T00:00:00"/>
    <x v="2"/>
    <n v="4.99"/>
    <n v="200.4"/>
    <n v="999.99600000000009"/>
    <x v="0"/>
    <x v="0"/>
    <x v="0"/>
    <x v="0"/>
    <x v="1"/>
    <x v="4"/>
  </r>
  <r>
    <n v="10615"/>
    <d v="2022-12-10T00:00:00"/>
    <x v="3"/>
    <n v="12.99"/>
    <n v="569.66999999999996"/>
    <n v="7400.0132999999996"/>
    <x v="0"/>
    <x v="0"/>
    <x v="0"/>
    <x v="0"/>
    <x v="1"/>
    <x v="5"/>
  </r>
  <r>
    <n v="10616"/>
    <d v="2022-12-10T00:00:00"/>
    <x v="4"/>
    <n v="9.9499999999999993"/>
    <n v="201.01"/>
    <n v="2000.0494999999999"/>
    <x v="0"/>
    <x v="0"/>
    <x v="0"/>
    <x v="0"/>
    <x v="1"/>
    <x v="5"/>
  </r>
  <r>
    <n v="10617"/>
    <d v="2022-12-10T00:00:00"/>
    <x v="0"/>
    <n v="3.49"/>
    <n v="630.37"/>
    <n v="2199.9913000000001"/>
    <x v="0"/>
    <x v="0"/>
    <x v="0"/>
    <x v="0"/>
    <x v="1"/>
    <x v="5"/>
  </r>
  <r>
    <n v="10618"/>
    <d v="2022-12-10T00:00:00"/>
    <x v="1"/>
    <n v="2.95"/>
    <n v="677.97"/>
    <n v="2000.0115000000003"/>
    <x v="0"/>
    <x v="0"/>
    <x v="0"/>
    <x v="0"/>
    <x v="1"/>
    <x v="5"/>
  </r>
  <r>
    <n v="10619"/>
    <d v="2022-12-10T00:00:00"/>
    <x v="2"/>
    <n v="4.99"/>
    <n v="200.4"/>
    <n v="999.99600000000009"/>
    <x v="0"/>
    <x v="0"/>
    <x v="0"/>
    <x v="0"/>
    <x v="1"/>
    <x v="5"/>
  </r>
  <r>
    <n v="10620"/>
    <d v="2022-12-11T00:00:00"/>
    <x v="3"/>
    <n v="12.99"/>
    <n v="585.07000000000005"/>
    <n v="7600.0593000000008"/>
    <x v="0"/>
    <x v="0"/>
    <x v="0"/>
    <x v="0"/>
    <x v="1"/>
    <x v="6"/>
  </r>
  <r>
    <n v="10621"/>
    <d v="2022-12-11T00:00:00"/>
    <x v="4"/>
    <n v="9.9499999999999993"/>
    <n v="201.01"/>
    <n v="2000.0494999999999"/>
    <x v="0"/>
    <x v="0"/>
    <x v="0"/>
    <x v="0"/>
    <x v="1"/>
    <x v="6"/>
  </r>
  <r>
    <n v="10622"/>
    <d v="2022-12-11T00:00:00"/>
    <x v="0"/>
    <n v="3.49"/>
    <n v="630.37"/>
    <n v="2199.9913000000001"/>
    <x v="0"/>
    <x v="0"/>
    <x v="0"/>
    <x v="0"/>
    <x v="1"/>
    <x v="6"/>
  </r>
  <r>
    <n v="10623"/>
    <d v="2022-12-11T00:00:00"/>
    <x v="1"/>
    <n v="2.95"/>
    <n v="745.76"/>
    <n v="2199.9920000000002"/>
    <x v="0"/>
    <x v="0"/>
    <x v="0"/>
    <x v="0"/>
    <x v="1"/>
    <x v="6"/>
  </r>
  <r>
    <n v="10624"/>
    <d v="2022-12-11T00:00:00"/>
    <x v="2"/>
    <n v="4.99"/>
    <n v="200.4"/>
    <n v="999.99600000000009"/>
    <x v="0"/>
    <x v="0"/>
    <x v="0"/>
    <x v="0"/>
    <x v="1"/>
    <x v="6"/>
  </r>
  <r>
    <n v="10625"/>
    <d v="2022-12-12T00:00:00"/>
    <x v="3"/>
    <n v="12.99"/>
    <n v="569.66999999999996"/>
    <n v="7400.0132999999996"/>
    <x v="0"/>
    <x v="0"/>
    <x v="0"/>
    <x v="0"/>
    <x v="1"/>
    <x v="0"/>
  </r>
  <r>
    <n v="10626"/>
    <d v="2022-12-12T00:00:00"/>
    <x v="4"/>
    <n v="9.9499999999999993"/>
    <n v="201.01"/>
    <n v="2000.0494999999999"/>
    <x v="0"/>
    <x v="0"/>
    <x v="0"/>
    <x v="0"/>
    <x v="1"/>
    <x v="0"/>
  </r>
  <r>
    <n v="10627"/>
    <d v="2022-12-12T00:00:00"/>
    <x v="0"/>
    <n v="3.49"/>
    <n v="630.37"/>
    <n v="2199.9913000000001"/>
    <x v="0"/>
    <x v="0"/>
    <x v="0"/>
    <x v="0"/>
    <x v="1"/>
    <x v="0"/>
  </r>
  <r>
    <n v="10628"/>
    <d v="2022-12-12T00:00:00"/>
    <x v="1"/>
    <n v="2.95"/>
    <n v="677.97"/>
    <n v="2000.0115000000003"/>
    <x v="0"/>
    <x v="0"/>
    <x v="2"/>
    <x v="2"/>
    <x v="1"/>
    <x v="0"/>
  </r>
  <r>
    <n v="10629"/>
    <d v="2022-12-12T00:00:00"/>
    <x v="2"/>
    <n v="4.99"/>
    <n v="200.4"/>
    <n v="999.99600000000009"/>
    <x v="0"/>
    <x v="0"/>
    <x v="2"/>
    <x v="2"/>
    <x v="1"/>
    <x v="0"/>
  </r>
  <r>
    <n v="10630"/>
    <d v="2022-12-13T00:00:00"/>
    <x v="3"/>
    <n v="12.99"/>
    <n v="569.66999999999996"/>
    <n v="7400.0132999999996"/>
    <x v="0"/>
    <x v="2"/>
    <x v="2"/>
    <x v="2"/>
    <x v="1"/>
    <x v="1"/>
  </r>
  <r>
    <n v="10631"/>
    <d v="2022-12-13T00:00:00"/>
    <x v="4"/>
    <n v="9.9499999999999993"/>
    <n v="201.01"/>
    <n v="2000.0494999999999"/>
    <x v="0"/>
    <x v="0"/>
    <x v="2"/>
    <x v="2"/>
    <x v="1"/>
    <x v="1"/>
  </r>
  <r>
    <n v="10632"/>
    <d v="2022-12-13T00:00:00"/>
    <x v="0"/>
    <n v="3.49"/>
    <n v="630.37"/>
    <n v="2199.9913000000001"/>
    <x v="0"/>
    <x v="0"/>
    <x v="2"/>
    <x v="2"/>
    <x v="1"/>
    <x v="1"/>
  </r>
  <r>
    <n v="10633"/>
    <d v="2022-12-13T00:00:00"/>
    <x v="1"/>
    <n v="2.95"/>
    <n v="677.97"/>
    <n v="2000.0115000000003"/>
    <x v="0"/>
    <x v="0"/>
    <x v="2"/>
    <x v="2"/>
    <x v="1"/>
    <x v="1"/>
  </r>
  <r>
    <n v="10634"/>
    <d v="2022-12-13T00:00:00"/>
    <x v="2"/>
    <n v="4.99"/>
    <n v="200.4"/>
    <n v="999.99600000000009"/>
    <x v="0"/>
    <x v="0"/>
    <x v="2"/>
    <x v="2"/>
    <x v="1"/>
    <x v="1"/>
  </r>
  <r>
    <n v="10635"/>
    <d v="2022-12-14T00:00:00"/>
    <x v="3"/>
    <n v="12.99"/>
    <n v="554.27"/>
    <n v="7199.9673000000003"/>
    <x v="0"/>
    <x v="0"/>
    <x v="2"/>
    <x v="2"/>
    <x v="1"/>
    <x v="2"/>
  </r>
  <r>
    <n v="10636"/>
    <d v="2022-12-14T00:00:00"/>
    <x v="4"/>
    <n v="9.9499999999999993"/>
    <n v="221.11"/>
    <n v="2200.0445"/>
    <x v="0"/>
    <x v="0"/>
    <x v="2"/>
    <x v="2"/>
    <x v="1"/>
    <x v="2"/>
  </r>
  <r>
    <n v="10637"/>
    <d v="2022-12-14T00:00:00"/>
    <x v="0"/>
    <n v="3.49"/>
    <n v="630.37"/>
    <n v="2199.9913000000001"/>
    <x v="0"/>
    <x v="0"/>
    <x v="2"/>
    <x v="2"/>
    <x v="1"/>
    <x v="2"/>
  </r>
  <r>
    <n v="10638"/>
    <d v="2022-12-14T00:00:00"/>
    <x v="1"/>
    <n v="2.95"/>
    <n v="677.97"/>
    <n v="2000.0115000000003"/>
    <x v="0"/>
    <x v="0"/>
    <x v="2"/>
    <x v="2"/>
    <x v="1"/>
    <x v="2"/>
  </r>
  <r>
    <n v="10639"/>
    <d v="2022-12-14T00:00:00"/>
    <x v="2"/>
    <n v="4.99"/>
    <n v="200.4"/>
    <n v="999.99600000000009"/>
    <x v="0"/>
    <x v="0"/>
    <x v="2"/>
    <x v="2"/>
    <x v="1"/>
    <x v="2"/>
  </r>
  <r>
    <n v="10640"/>
    <d v="2022-12-15T00:00:00"/>
    <x v="3"/>
    <n v="12.99"/>
    <n v="538.88"/>
    <n v="7000.0511999999999"/>
    <x v="0"/>
    <x v="0"/>
    <x v="2"/>
    <x v="2"/>
    <x v="1"/>
    <x v="3"/>
  </r>
  <r>
    <n v="10641"/>
    <d v="2022-12-15T00:00:00"/>
    <x v="4"/>
    <n v="9.9499999999999993"/>
    <n v="221.11"/>
    <n v="2200.0445"/>
    <x v="0"/>
    <x v="0"/>
    <x v="2"/>
    <x v="2"/>
    <x v="1"/>
    <x v="3"/>
  </r>
  <r>
    <n v="10642"/>
    <d v="2022-12-15T00:00:00"/>
    <x v="0"/>
    <n v="3.49"/>
    <n v="630.37"/>
    <n v="2199.9913000000001"/>
    <x v="0"/>
    <x v="2"/>
    <x v="2"/>
    <x v="2"/>
    <x v="1"/>
    <x v="3"/>
  </r>
  <r>
    <n v="10643"/>
    <d v="2022-12-15T00:00:00"/>
    <x v="1"/>
    <n v="2.95"/>
    <n v="677.97"/>
    <n v="2000.0115000000003"/>
    <x v="0"/>
    <x v="2"/>
    <x v="2"/>
    <x v="2"/>
    <x v="1"/>
    <x v="3"/>
  </r>
  <r>
    <n v="10644"/>
    <d v="2022-12-15T00:00:00"/>
    <x v="2"/>
    <n v="4.99"/>
    <n v="200.4"/>
    <n v="999.99600000000009"/>
    <x v="0"/>
    <x v="2"/>
    <x v="2"/>
    <x v="2"/>
    <x v="1"/>
    <x v="3"/>
  </r>
  <r>
    <n v="10645"/>
    <d v="2022-12-16T00:00:00"/>
    <x v="3"/>
    <n v="12.99"/>
    <n v="569.66999999999996"/>
    <n v="7400.0132999999996"/>
    <x v="0"/>
    <x v="2"/>
    <x v="2"/>
    <x v="2"/>
    <x v="1"/>
    <x v="4"/>
  </r>
  <r>
    <n v="10646"/>
    <d v="2022-12-16T00:00:00"/>
    <x v="4"/>
    <n v="9.9499999999999993"/>
    <n v="221.11"/>
    <n v="2200.0445"/>
    <x v="0"/>
    <x v="2"/>
    <x v="2"/>
    <x v="2"/>
    <x v="1"/>
    <x v="4"/>
  </r>
  <r>
    <n v="10647"/>
    <d v="2022-12-16T00:00:00"/>
    <x v="0"/>
    <n v="3.49"/>
    <n v="630.37"/>
    <n v="2199.9913000000001"/>
    <x v="0"/>
    <x v="0"/>
    <x v="2"/>
    <x v="2"/>
    <x v="1"/>
    <x v="4"/>
  </r>
  <r>
    <n v="10648"/>
    <d v="2022-12-16T00:00:00"/>
    <x v="1"/>
    <n v="2.95"/>
    <n v="745.76"/>
    <n v="2199.9920000000002"/>
    <x v="0"/>
    <x v="0"/>
    <x v="2"/>
    <x v="2"/>
    <x v="1"/>
    <x v="4"/>
  </r>
  <r>
    <n v="10649"/>
    <d v="2022-12-16T00:00:00"/>
    <x v="2"/>
    <n v="4.99"/>
    <n v="200.4"/>
    <n v="999.99600000000009"/>
    <x v="0"/>
    <x v="0"/>
    <x v="2"/>
    <x v="2"/>
    <x v="1"/>
    <x v="4"/>
  </r>
  <r>
    <n v="10650"/>
    <d v="2022-12-17T00:00:00"/>
    <x v="3"/>
    <n v="12.99"/>
    <n v="585.07000000000005"/>
    <n v="7600.0593000000008"/>
    <x v="0"/>
    <x v="0"/>
    <x v="2"/>
    <x v="2"/>
    <x v="1"/>
    <x v="5"/>
  </r>
  <r>
    <n v="10651"/>
    <d v="2022-12-17T00:00:00"/>
    <x v="4"/>
    <n v="9.9499999999999993"/>
    <n v="221.11"/>
    <n v="2200.0445"/>
    <x v="0"/>
    <x v="0"/>
    <x v="2"/>
    <x v="2"/>
    <x v="1"/>
    <x v="5"/>
  </r>
  <r>
    <n v="10652"/>
    <d v="2022-12-17T00:00:00"/>
    <x v="0"/>
    <n v="3.49"/>
    <n v="687.68"/>
    <n v="2400.0032000000001"/>
    <x v="0"/>
    <x v="0"/>
    <x v="2"/>
    <x v="2"/>
    <x v="1"/>
    <x v="5"/>
  </r>
  <r>
    <n v="10653"/>
    <d v="2022-12-17T00:00:00"/>
    <x v="1"/>
    <n v="2.95"/>
    <n v="745.76"/>
    <n v="2199.9920000000002"/>
    <x v="0"/>
    <x v="0"/>
    <x v="2"/>
    <x v="2"/>
    <x v="1"/>
    <x v="5"/>
  </r>
  <r>
    <n v="10654"/>
    <d v="2022-12-17T00:00:00"/>
    <x v="2"/>
    <n v="4.99"/>
    <n v="200.4"/>
    <n v="999.99600000000009"/>
    <x v="0"/>
    <x v="0"/>
    <x v="2"/>
    <x v="2"/>
    <x v="1"/>
    <x v="5"/>
  </r>
  <r>
    <n v="10655"/>
    <d v="2022-12-18T00:00:00"/>
    <x v="3"/>
    <n v="12.99"/>
    <n v="600.46"/>
    <n v="7799.9754000000003"/>
    <x v="0"/>
    <x v="0"/>
    <x v="2"/>
    <x v="2"/>
    <x v="1"/>
    <x v="6"/>
  </r>
  <r>
    <n v="10656"/>
    <d v="2022-12-18T00:00:00"/>
    <x v="4"/>
    <n v="9.9499999999999993"/>
    <n v="221.11"/>
    <n v="2200.0445"/>
    <x v="0"/>
    <x v="0"/>
    <x v="2"/>
    <x v="2"/>
    <x v="1"/>
    <x v="6"/>
  </r>
  <r>
    <n v="10657"/>
    <d v="2022-12-18T00:00:00"/>
    <x v="0"/>
    <n v="3.49"/>
    <n v="687.68"/>
    <n v="2400.0032000000001"/>
    <x v="0"/>
    <x v="0"/>
    <x v="2"/>
    <x v="2"/>
    <x v="1"/>
    <x v="6"/>
  </r>
  <r>
    <n v="10658"/>
    <d v="2022-12-18T00:00:00"/>
    <x v="1"/>
    <n v="2.95"/>
    <n v="745.76"/>
    <n v="2199.9920000000002"/>
    <x v="0"/>
    <x v="2"/>
    <x v="2"/>
    <x v="2"/>
    <x v="1"/>
    <x v="6"/>
  </r>
  <r>
    <n v="10659"/>
    <d v="2022-12-18T00:00:00"/>
    <x v="2"/>
    <n v="4.99"/>
    <n v="200.4"/>
    <n v="999.99600000000009"/>
    <x v="0"/>
    <x v="2"/>
    <x v="2"/>
    <x v="2"/>
    <x v="1"/>
    <x v="6"/>
  </r>
  <r>
    <n v="10660"/>
    <d v="2022-12-19T00:00:00"/>
    <x v="3"/>
    <n v="12.99"/>
    <n v="631.25"/>
    <n v="8199.9375"/>
    <x v="1"/>
    <x v="2"/>
    <x v="2"/>
    <x v="2"/>
    <x v="1"/>
    <x v="0"/>
  </r>
  <r>
    <n v="10661"/>
    <d v="2022-12-19T00:00:00"/>
    <x v="4"/>
    <n v="9.9499999999999993"/>
    <n v="221.11"/>
    <n v="2200.0445"/>
    <x v="1"/>
    <x v="2"/>
    <x v="2"/>
    <x v="2"/>
    <x v="1"/>
    <x v="0"/>
  </r>
  <r>
    <n v="10662"/>
    <d v="2022-12-19T00:00:00"/>
    <x v="0"/>
    <n v="3.49"/>
    <n v="630.37"/>
    <n v="2199.9913000000001"/>
    <x v="1"/>
    <x v="2"/>
    <x v="2"/>
    <x v="2"/>
    <x v="1"/>
    <x v="0"/>
  </r>
  <r>
    <n v="10663"/>
    <d v="2022-12-19T00:00:00"/>
    <x v="1"/>
    <n v="2.95"/>
    <n v="745.76"/>
    <n v="2199.9920000000002"/>
    <x v="1"/>
    <x v="2"/>
    <x v="2"/>
    <x v="2"/>
    <x v="1"/>
    <x v="0"/>
  </r>
  <r>
    <n v="10664"/>
    <d v="2022-12-19T00:00:00"/>
    <x v="2"/>
    <n v="4.99"/>
    <n v="200.4"/>
    <n v="999.99600000000009"/>
    <x v="1"/>
    <x v="2"/>
    <x v="2"/>
    <x v="2"/>
    <x v="1"/>
    <x v="0"/>
  </r>
  <r>
    <n v="10665"/>
    <d v="2022-12-20T00:00:00"/>
    <x v="3"/>
    <n v="12.99"/>
    <n v="646.65"/>
    <n v="8399.9835000000003"/>
    <x v="1"/>
    <x v="2"/>
    <x v="2"/>
    <x v="2"/>
    <x v="1"/>
    <x v="1"/>
  </r>
  <r>
    <n v="10666"/>
    <d v="2022-12-20T00:00:00"/>
    <x v="4"/>
    <n v="9.9499999999999993"/>
    <n v="221.11"/>
    <n v="2200.0445"/>
    <x v="1"/>
    <x v="2"/>
    <x v="2"/>
    <x v="2"/>
    <x v="1"/>
    <x v="1"/>
  </r>
  <r>
    <n v="10667"/>
    <d v="2022-12-20T00:00:00"/>
    <x v="0"/>
    <n v="3.49"/>
    <n v="630.37"/>
    <n v="2199.9913000000001"/>
    <x v="1"/>
    <x v="2"/>
    <x v="2"/>
    <x v="2"/>
    <x v="1"/>
    <x v="1"/>
  </r>
  <r>
    <n v="10668"/>
    <d v="2022-12-20T00:00:00"/>
    <x v="1"/>
    <n v="2.95"/>
    <n v="745.76"/>
    <n v="2199.9920000000002"/>
    <x v="1"/>
    <x v="2"/>
    <x v="2"/>
    <x v="2"/>
    <x v="1"/>
    <x v="1"/>
  </r>
  <r>
    <n v="10669"/>
    <d v="2022-12-20T00:00:00"/>
    <x v="2"/>
    <n v="4.99"/>
    <n v="200.4"/>
    <n v="999.99600000000009"/>
    <x v="1"/>
    <x v="2"/>
    <x v="2"/>
    <x v="2"/>
    <x v="1"/>
    <x v="1"/>
  </r>
  <r>
    <n v="10670"/>
    <d v="2022-12-21T00:00:00"/>
    <x v="3"/>
    <n v="12.99"/>
    <n v="677.44"/>
    <n v="8799.9456000000009"/>
    <x v="1"/>
    <x v="2"/>
    <x v="2"/>
    <x v="2"/>
    <x v="1"/>
    <x v="2"/>
  </r>
  <r>
    <n v="10671"/>
    <d v="2022-12-21T00:00:00"/>
    <x v="4"/>
    <n v="9.9499999999999993"/>
    <n v="221.11"/>
    <n v="2200.0445"/>
    <x v="1"/>
    <x v="2"/>
    <x v="2"/>
    <x v="2"/>
    <x v="1"/>
    <x v="2"/>
  </r>
  <r>
    <n v="10672"/>
    <d v="2022-12-21T00:00:00"/>
    <x v="0"/>
    <n v="3.49"/>
    <n v="630.37"/>
    <n v="2199.9913000000001"/>
    <x v="1"/>
    <x v="2"/>
    <x v="2"/>
    <x v="2"/>
    <x v="1"/>
    <x v="2"/>
  </r>
  <r>
    <n v="10673"/>
    <d v="2022-12-21T00:00:00"/>
    <x v="1"/>
    <n v="2.95"/>
    <n v="745.76"/>
    <n v="2199.9920000000002"/>
    <x v="1"/>
    <x v="2"/>
    <x v="2"/>
    <x v="2"/>
    <x v="1"/>
    <x v="2"/>
  </r>
  <r>
    <n v="10674"/>
    <d v="2022-12-21T00:00:00"/>
    <x v="2"/>
    <n v="4.99"/>
    <n v="200.4"/>
    <n v="999.99600000000009"/>
    <x v="1"/>
    <x v="2"/>
    <x v="2"/>
    <x v="2"/>
    <x v="1"/>
    <x v="2"/>
  </r>
  <r>
    <n v="10675"/>
    <d v="2022-12-22T00:00:00"/>
    <x v="3"/>
    <n v="12.99"/>
    <n v="677.44"/>
    <n v="8799.9456000000009"/>
    <x v="1"/>
    <x v="2"/>
    <x v="2"/>
    <x v="2"/>
    <x v="1"/>
    <x v="3"/>
  </r>
  <r>
    <n v="10676"/>
    <d v="2022-12-22T00:00:00"/>
    <x v="4"/>
    <n v="9.9499999999999993"/>
    <n v="241.21"/>
    <n v="2400.0394999999999"/>
    <x v="1"/>
    <x v="2"/>
    <x v="2"/>
    <x v="2"/>
    <x v="1"/>
    <x v="3"/>
  </r>
  <r>
    <n v="10677"/>
    <d v="2022-12-22T00:00:00"/>
    <x v="0"/>
    <n v="3.49"/>
    <n v="630.37"/>
    <n v="2199.9913000000001"/>
    <x v="1"/>
    <x v="2"/>
    <x v="2"/>
    <x v="2"/>
    <x v="1"/>
    <x v="3"/>
  </r>
  <r>
    <n v="10678"/>
    <d v="2022-12-22T00:00:00"/>
    <x v="1"/>
    <n v="2.95"/>
    <n v="745.76"/>
    <n v="2199.9920000000002"/>
    <x v="1"/>
    <x v="2"/>
    <x v="2"/>
    <x v="2"/>
    <x v="1"/>
    <x v="3"/>
  </r>
  <r>
    <n v="10679"/>
    <d v="2022-12-22T00:00:00"/>
    <x v="2"/>
    <n v="4.99"/>
    <n v="200.4"/>
    <n v="999.99600000000009"/>
    <x v="1"/>
    <x v="2"/>
    <x v="2"/>
    <x v="2"/>
    <x v="1"/>
    <x v="3"/>
  </r>
  <r>
    <n v="10680"/>
    <d v="2022-12-23T00:00:00"/>
    <x v="3"/>
    <n v="12.99"/>
    <n v="646.65"/>
    <n v="8399.9835000000003"/>
    <x v="1"/>
    <x v="2"/>
    <x v="2"/>
    <x v="2"/>
    <x v="1"/>
    <x v="4"/>
  </r>
  <r>
    <n v="10681"/>
    <d v="2022-12-23T00:00:00"/>
    <x v="4"/>
    <n v="9.9499999999999993"/>
    <n v="241.21"/>
    <n v="2400.0394999999999"/>
    <x v="1"/>
    <x v="2"/>
    <x v="2"/>
    <x v="2"/>
    <x v="1"/>
    <x v="4"/>
  </r>
  <r>
    <n v="10682"/>
    <d v="2022-12-23T00:00:00"/>
    <x v="0"/>
    <n v="3.49"/>
    <n v="630.37"/>
    <n v="2199.9913000000001"/>
    <x v="1"/>
    <x v="2"/>
    <x v="2"/>
    <x v="2"/>
    <x v="1"/>
    <x v="4"/>
  </r>
  <r>
    <n v="10683"/>
    <d v="2022-12-23T00:00:00"/>
    <x v="1"/>
    <n v="2.95"/>
    <n v="677.97"/>
    <n v="2000.0115000000003"/>
    <x v="1"/>
    <x v="2"/>
    <x v="2"/>
    <x v="2"/>
    <x v="1"/>
    <x v="4"/>
  </r>
  <r>
    <n v="10684"/>
    <d v="2022-12-23T00:00:00"/>
    <x v="2"/>
    <n v="4.99"/>
    <n v="200.4"/>
    <n v="999.99600000000009"/>
    <x v="1"/>
    <x v="2"/>
    <x v="2"/>
    <x v="2"/>
    <x v="1"/>
    <x v="4"/>
  </r>
  <r>
    <n v="10685"/>
    <d v="2022-12-24T00:00:00"/>
    <x v="3"/>
    <n v="12.99"/>
    <n v="677.44"/>
    <n v="8799.9456000000009"/>
    <x v="1"/>
    <x v="2"/>
    <x v="2"/>
    <x v="2"/>
    <x v="1"/>
    <x v="5"/>
  </r>
  <r>
    <n v="10686"/>
    <d v="2022-12-24T00:00:00"/>
    <x v="4"/>
    <n v="9.9499999999999993"/>
    <n v="241.21"/>
    <n v="2400.0394999999999"/>
    <x v="1"/>
    <x v="2"/>
    <x v="2"/>
    <x v="2"/>
    <x v="1"/>
    <x v="5"/>
  </r>
  <r>
    <n v="10687"/>
    <d v="2022-12-24T00:00:00"/>
    <x v="0"/>
    <n v="3.49"/>
    <n v="630.37"/>
    <n v="2199.9913000000001"/>
    <x v="1"/>
    <x v="2"/>
    <x v="3"/>
    <x v="3"/>
    <x v="1"/>
    <x v="5"/>
  </r>
  <r>
    <n v="10688"/>
    <d v="2022-12-24T00:00:00"/>
    <x v="1"/>
    <n v="2.95"/>
    <n v="677.97"/>
    <n v="2000.0115000000003"/>
    <x v="1"/>
    <x v="2"/>
    <x v="3"/>
    <x v="3"/>
    <x v="1"/>
    <x v="5"/>
  </r>
  <r>
    <n v="10689"/>
    <d v="2022-12-24T00:00:00"/>
    <x v="2"/>
    <n v="4.99"/>
    <n v="200.4"/>
    <n v="999.99600000000009"/>
    <x v="1"/>
    <x v="2"/>
    <x v="3"/>
    <x v="3"/>
    <x v="1"/>
    <x v="5"/>
  </r>
  <r>
    <n v="10690"/>
    <d v="2022-12-25T00:00:00"/>
    <x v="3"/>
    <n v="12.99"/>
    <n v="677.44"/>
    <n v="8799.9456000000009"/>
    <x v="1"/>
    <x v="2"/>
    <x v="3"/>
    <x v="3"/>
    <x v="1"/>
    <x v="6"/>
  </r>
  <r>
    <n v="10691"/>
    <d v="2022-12-25T00:00:00"/>
    <x v="4"/>
    <n v="9.9499999999999993"/>
    <n v="261.31"/>
    <n v="2600.0344999999998"/>
    <x v="1"/>
    <x v="2"/>
    <x v="3"/>
    <x v="3"/>
    <x v="1"/>
    <x v="6"/>
  </r>
  <r>
    <n v="10692"/>
    <d v="2022-12-25T00:00:00"/>
    <x v="0"/>
    <n v="3.49"/>
    <n v="630.37"/>
    <n v="2199.9913000000001"/>
    <x v="1"/>
    <x v="2"/>
    <x v="3"/>
    <x v="3"/>
    <x v="1"/>
    <x v="6"/>
  </r>
  <r>
    <n v="10693"/>
    <d v="2022-12-25T00:00:00"/>
    <x v="1"/>
    <n v="2.95"/>
    <n v="677.97"/>
    <n v="2000.0115000000003"/>
    <x v="1"/>
    <x v="2"/>
    <x v="3"/>
    <x v="3"/>
    <x v="1"/>
    <x v="6"/>
  </r>
  <r>
    <n v="10694"/>
    <d v="2022-12-25T00:00:00"/>
    <x v="2"/>
    <n v="4.99"/>
    <n v="200.4"/>
    <n v="999.99600000000009"/>
    <x v="1"/>
    <x v="2"/>
    <x v="3"/>
    <x v="3"/>
    <x v="1"/>
    <x v="6"/>
  </r>
  <r>
    <n v="10695"/>
    <d v="2022-12-26T00:00:00"/>
    <x v="3"/>
    <n v="12.99"/>
    <n v="692.84"/>
    <n v="8999.9916000000012"/>
    <x v="1"/>
    <x v="2"/>
    <x v="3"/>
    <x v="3"/>
    <x v="1"/>
    <x v="0"/>
  </r>
  <r>
    <n v="10696"/>
    <d v="2022-12-26T00:00:00"/>
    <x v="4"/>
    <n v="9.9499999999999993"/>
    <n v="281.41000000000003"/>
    <n v="2800.0295000000001"/>
    <x v="1"/>
    <x v="2"/>
    <x v="3"/>
    <x v="3"/>
    <x v="1"/>
    <x v="0"/>
  </r>
  <r>
    <n v="10697"/>
    <d v="2022-12-26T00:00:00"/>
    <x v="0"/>
    <n v="3.49"/>
    <n v="630.37"/>
    <n v="2199.9913000000001"/>
    <x v="1"/>
    <x v="2"/>
    <x v="3"/>
    <x v="3"/>
    <x v="1"/>
    <x v="0"/>
  </r>
  <r>
    <n v="10698"/>
    <d v="2022-12-26T00:00:00"/>
    <x v="1"/>
    <n v="2.95"/>
    <n v="677.97"/>
    <n v="2000.0115000000003"/>
    <x v="1"/>
    <x v="2"/>
    <x v="3"/>
    <x v="3"/>
    <x v="1"/>
    <x v="0"/>
  </r>
  <r>
    <n v="10699"/>
    <d v="2022-12-26T00:00:00"/>
    <x v="2"/>
    <n v="4.99"/>
    <n v="200.4"/>
    <n v="999.99600000000009"/>
    <x v="1"/>
    <x v="2"/>
    <x v="3"/>
    <x v="3"/>
    <x v="1"/>
    <x v="0"/>
  </r>
  <r>
    <n v="10700"/>
    <d v="2022-12-27T00:00:00"/>
    <x v="3"/>
    <n v="12.99"/>
    <n v="692.84"/>
    <n v="8999.9916000000012"/>
    <x v="1"/>
    <x v="2"/>
    <x v="3"/>
    <x v="3"/>
    <x v="1"/>
    <x v="1"/>
  </r>
  <r>
    <n v="10701"/>
    <d v="2022-12-27T00:00:00"/>
    <x v="4"/>
    <n v="9.9499999999999993"/>
    <n v="281.41000000000003"/>
    <n v="2800.0295000000001"/>
    <x v="1"/>
    <x v="2"/>
    <x v="3"/>
    <x v="3"/>
    <x v="1"/>
    <x v="1"/>
  </r>
  <r>
    <n v="10702"/>
    <d v="2022-12-27T00:00:00"/>
    <x v="0"/>
    <n v="3.49"/>
    <n v="630.37"/>
    <n v="2199.9913000000001"/>
    <x v="1"/>
    <x v="2"/>
    <x v="3"/>
    <x v="3"/>
    <x v="1"/>
    <x v="1"/>
  </r>
  <r>
    <n v="10703"/>
    <d v="2022-12-27T00:00:00"/>
    <x v="1"/>
    <n v="2.95"/>
    <n v="677.97"/>
    <n v="2000.0115000000003"/>
    <x v="1"/>
    <x v="0"/>
    <x v="3"/>
    <x v="3"/>
    <x v="1"/>
    <x v="1"/>
  </r>
  <r>
    <n v="10704"/>
    <d v="2022-12-27T00:00:00"/>
    <x v="2"/>
    <n v="4.99"/>
    <n v="200.4"/>
    <n v="999.99600000000009"/>
    <x v="2"/>
    <x v="0"/>
    <x v="3"/>
    <x v="3"/>
    <x v="1"/>
    <x v="1"/>
  </r>
  <r>
    <n v="10705"/>
    <d v="2022-12-28T00:00:00"/>
    <x v="3"/>
    <n v="12.99"/>
    <n v="723.63"/>
    <n v="9399.9537"/>
    <x v="2"/>
    <x v="0"/>
    <x v="3"/>
    <x v="3"/>
    <x v="1"/>
    <x v="2"/>
  </r>
  <r>
    <n v="10706"/>
    <d v="2022-12-28T00:00:00"/>
    <x v="4"/>
    <n v="9.9499999999999993"/>
    <n v="301.51"/>
    <n v="3000.0244999999995"/>
    <x v="2"/>
    <x v="0"/>
    <x v="3"/>
    <x v="3"/>
    <x v="1"/>
    <x v="2"/>
  </r>
  <r>
    <n v="10707"/>
    <d v="2022-12-28T00:00:00"/>
    <x v="0"/>
    <n v="3.49"/>
    <n v="630.37"/>
    <n v="2199.9913000000001"/>
    <x v="2"/>
    <x v="0"/>
    <x v="3"/>
    <x v="3"/>
    <x v="1"/>
    <x v="2"/>
  </r>
  <r>
    <n v="10708"/>
    <d v="2022-12-28T00:00:00"/>
    <x v="1"/>
    <n v="2.95"/>
    <n v="677.97"/>
    <n v="2000.0115000000003"/>
    <x v="2"/>
    <x v="0"/>
    <x v="3"/>
    <x v="3"/>
    <x v="1"/>
    <x v="2"/>
  </r>
  <r>
    <n v="10709"/>
    <d v="2022-12-28T00:00:00"/>
    <x v="2"/>
    <n v="4.99"/>
    <n v="200.4"/>
    <n v="999.99600000000009"/>
    <x v="2"/>
    <x v="0"/>
    <x v="3"/>
    <x v="3"/>
    <x v="1"/>
    <x v="2"/>
  </r>
  <r>
    <n v="10710"/>
    <d v="2022-12-29T00:00:00"/>
    <x v="3"/>
    <n v="12.99"/>
    <n v="754.43"/>
    <n v="9800.0456999999988"/>
    <x v="2"/>
    <x v="0"/>
    <x v="3"/>
    <x v="3"/>
    <x v="1"/>
    <x v="3"/>
  </r>
  <r>
    <n v="10711"/>
    <d v="2022-12-29T00:00:00"/>
    <x v="4"/>
    <n v="9.9499999999999993"/>
    <n v="281.41000000000003"/>
    <n v="2800.0295000000001"/>
    <x v="2"/>
    <x v="0"/>
    <x v="3"/>
    <x v="3"/>
    <x v="1"/>
    <x v="3"/>
  </r>
  <r>
    <n v="10712"/>
    <d v="2022-12-29T00:00:00"/>
    <x v="0"/>
    <n v="3.49"/>
    <n v="630.37"/>
    <n v="2199.9913000000001"/>
    <x v="2"/>
    <x v="0"/>
    <x v="3"/>
    <x v="3"/>
    <x v="1"/>
    <x v="3"/>
  </r>
  <r>
    <n v="10713"/>
    <d v="2022-12-29T00:00:00"/>
    <x v="1"/>
    <n v="2.95"/>
    <n v="677.97"/>
    <n v="2000.0115000000003"/>
    <x v="2"/>
    <x v="0"/>
    <x v="3"/>
    <x v="3"/>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552FC4-8869-4628-998F-941EA5A09A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2">
    <pivotField showAll="0"/>
    <pivotField numFmtId="14" showAll="0"/>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numFmtId="164" showAll="0"/>
    <pivotField numFmtId="2" showAll="0"/>
    <pivotField dataField="1" numFmtId="164" showAll="0"/>
    <pivotField showAll="0">
      <items count="4">
        <item x="2"/>
        <item x="1"/>
        <item x="0"/>
        <item t="default"/>
      </items>
    </pivotField>
    <pivotField showAll="0"/>
    <pivotField showAll="0">
      <items count="6">
        <item x="2"/>
        <item x="1"/>
        <item x="4"/>
        <item x="0"/>
        <item x="3"/>
        <item t="default"/>
      </items>
    </pivotField>
    <pivotField showAll="0">
      <items count="6">
        <item x="3"/>
        <item x="2"/>
        <item x="0"/>
        <item x="1"/>
        <item x="4"/>
        <item t="default"/>
      </items>
    </pivotField>
    <pivotField showAll="0">
      <items count="3">
        <item x="0"/>
        <item x="1"/>
        <item t="default"/>
      </items>
    </pivotField>
    <pivotField showAll="0"/>
  </pivotFields>
  <rowFields count="1">
    <field x="2"/>
  </rowFields>
  <rowItems count="6">
    <i>
      <x v="1"/>
    </i>
    <i>
      <x v="3"/>
    </i>
    <i>
      <x v="2"/>
    </i>
    <i>
      <x/>
    </i>
    <i>
      <x v="4"/>
    </i>
    <i t="grand">
      <x/>
    </i>
  </rowItems>
  <colItems count="1">
    <i/>
  </colItems>
  <dataFields count="1">
    <dataField name="Sum of Total Amount" fld="5"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1"/>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0"/>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9B0160-6287-4DDD-815F-7A367020C7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2">
    <pivotField showAll="0"/>
    <pivotField numFmtId="14" showAll="0"/>
    <pivotField showAll="0" sortType="descending">
      <autoSortScope>
        <pivotArea dataOnly="0" outline="0" fieldPosition="0">
          <references count="1">
            <reference field="4294967294" count="1" selected="0">
              <x v="0"/>
            </reference>
          </references>
        </pivotArea>
      </autoSortScope>
    </pivotField>
    <pivotField numFmtId="164" showAll="0"/>
    <pivotField numFmtId="2" showAll="0"/>
    <pivotField dataField="1" numFmtId="164"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items count="6">
        <item x="2"/>
        <item x="1"/>
        <item x="4"/>
        <item x="0"/>
        <item x="3"/>
        <item t="default"/>
      </items>
    </pivotField>
    <pivotField showAll="0">
      <items count="6">
        <item x="3"/>
        <item x="2"/>
        <item x="0"/>
        <item x="1"/>
        <item x="4"/>
        <item t="default"/>
      </items>
    </pivotField>
    <pivotField showAll="0">
      <items count="3">
        <item x="0"/>
        <item x="1"/>
        <item t="default"/>
      </items>
    </pivotField>
    <pivotField showAll="0"/>
  </pivotFields>
  <rowFields count="1">
    <field x="6"/>
  </rowFields>
  <rowItems count="4">
    <i>
      <x v="2"/>
    </i>
    <i>
      <x v="1"/>
    </i>
    <i>
      <x/>
    </i>
    <i t="grand">
      <x/>
    </i>
  </rowItems>
  <colItems count="1">
    <i/>
  </colItems>
  <dataFields count="1">
    <dataField name="Sum of Total Amount" fld="5"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6" count="1" selected="0">
            <x v="2"/>
          </reference>
        </references>
      </pivotArea>
    </chartFormat>
    <chartFormat chart="1" format="13">
      <pivotArea type="data" outline="0" fieldPosition="0">
        <references count="2">
          <reference field="4294967294" count="1" selected="0">
            <x v="0"/>
          </reference>
          <reference field="6" count="1" selected="0">
            <x v="1"/>
          </reference>
        </references>
      </pivotArea>
    </chartFormat>
    <chartFormat chart="1" format="14">
      <pivotArea type="data" outline="0" fieldPosition="0">
        <references count="2">
          <reference field="4294967294" count="1" selected="0">
            <x v="0"/>
          </reference>
          <reference field="6" count="1" selected="0">
            <x v="0"/>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6" count="1" selected="0">
            <x v="2"/>
          </reference>
        </references>
      </pivotArea>
    </chartFormat>
    <chartFormat chart="5" format="21">
      <pivotArea type="data" outline="0" fieldPosition="0">
        <references count="2">
          <reference field="4294967294" count="1" selected="0">
            <x v="0"/>
          </reference>
          <reference field="6" count="1" selected="0">
            <x v="1"/>
          </reference>
        </references>
      </pivotArea>
    </chartFormat>
    <chartFormat chart="5" format="22">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C31C00-011E-46E5-A180-4367A28381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2">
    <pivotField showAll="0"/>
    <pivotField numFmtId="14" showAll="0"/>
    <pivotField showAll="0" sortType="descending">
      <autoSortScope>
        <pivotArea dataOnly="0" outline="0" fieldPosition="0">
          <references count="1">
            <reference field="4294967294" count="1" selected="0">
              <x v="0"/>
            </reference>
          </references>
        </pivotArea>
      </autoSortScope>
    </pivotField>
    <pivotField numFmtId="164" showAll="0"/>
    <pivotField numFmtId="2" showAll="0"/>
    <pivotField dataField="1" numFmtId="164"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6">
        <item x="2"/>
        <item x="1"/>
        <item x="4"/>
        <item x="0"/>
        <item x="3"/>
        <item t="default"/>
      </items>
    </pivotField>
    <pivotField showAll="0">
      <items count="6">
        <item x="3"/>
        <item x="2"/>
        <item x="0"/>
        <item x="1"/>
        <item x="4"/>
        <item t="default"/>
      </items>
    </pivotField>
    <pivotField showAll="0">
      <items count="3">
        <item x="0"/>
        <item x="1"/>
        <item t="default"/>
      </items>
    </pivotField>
    <pivotField showAll="0"/>
  </pivotFields>
  <rowFields count="1">
    <field x="7"/>
  </rowFields>
  <rowItems count="4">
    <i>
      <x v="1"/>
    </i>
    <i>
      <x/>
    </i>
    <i>
      <x v="2"/>
    </i>
    <i t="grand">
      <x/>
    </i>
  </rowItems>
  <colItems count="1">
    <i/>
  </colItems>
  <dataFields count="1">
    <dataField name="Sum of Total Amount" fld="5" baseField="0" baseItem="0" numFmtId="164"/>
  </dataFields>
  <chartFormats count="18">
    <chartFormat chart="0" format="0"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7" count="1" selected="0">
            <x v="1"/>
          </reference>
        </references>
      </pivotArea>
    </chartFormat>
    <chartFormat chart="3" format="20">
      <pivotArea type="data" outline="0" fieldPosition="0">
        <references count="2">
          <reference field="4294967294" count="1" selected="0">
            <x v="0"/>
          </reference>
          <reference field="7" count="1" selected="0">
            <x v="0"/>
          </reference>
        </references>
      </pivotArea>
    </chartFormat>
    <chartFormat chart="3" format="21">
      <pivotArea type="data" outline="0" fieldPosition="0">
        <references count="2">
          <reference field="4294967294" count="1" selected="0">
            <x v="0"/>
          </reference>
          <reference field="7" count="1" selected="0">
            <x v="2"/>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7" count="1" selected="0">
            <x v="1"/>
          </reference>
        </references>
      </pivotArea>
    </chartFormat>
    <chartFormat chart="8" format="24">
      <pivotArea type="data" outline="0" fieldPosition="0">
        <references count="2">
          <reference field="4294967294" count="1" selected="0">
            <x v="0"/>
          </reference>
          <reference field="7" count="1" selected="0">
            <x v="0"/>
          </reference>
        </references>
      </pivotArea>
    </chartFormat>
    <chartFormat chart="8" format="25">
      <pivotArea type="data" outline="0" fieldPosition="0">
        <references count="2">
          <reference field="4294967294" count="1" selected="0">
            <x v="0"/>
          </reference>
          <reference field="7" count="1" selected="0">
            <x v="2"/>
          </reference>
        </references>
      </pivotArea>
    </chartFormat>
    <chartFormat chart="9" format="26" series="1">
      <pivotArea type="data" outline="0" fieldPosition="0">
        <references count="1">
          <reference field="4294967294" count="1" selected="0">
            <x v="0"/>
          </reference>
        </references>
      </pivotArea>
    </chartFormat>
    <chartFormat chart="9" format="27">
      <pivotArea type="data" outline="0" fieldPosition="0">
        <references count="2">
          <reference field="4294967294" count="1" selected="0">
            <x v="0"/>
          </reference>
          <reference field="7" count="1" selected="0">
            <x v="1"/>
          </reference>
        </references>
      </pivotArea>
    </chartFormat>
    <chartFormat chart="9" format="28">
      <pivotArea type="data" outline="0" fieldPosition="0">
        <references count="2">
          <reference field="4294967294" count="1" selected="0">
            <x v="0"/>
          </reference>
          <reference field="7" count="1" selected="0">
            <x v="0"/>
          </reference>
        </references>
      </pivotArea>
    </chartFormat>
    <chartFormat chart="9" format="29">
      <pivotArea type="data" outline="0" fieldPosition="0">
        <references count="2">
          <reference field="4294967294" count="1" selected="0">
            <x v="0"/>
          </reference>
          <reference field="7" count="1" selected="0">
            <x v="2"/>
          </reference>
        </references>
      </pivotArea>
    </chartFormat>
    <chartFormat chart="10" format="26" series="1">
      <pivotArea type="data" outline="0" fieldPosition="0">
        <references count="1">
          <reference field="4294967294" count="1" selected="0">
            <x v="0"/>
          </reference>
        </references>
      </pivotArea>
    </chartFormat>
    <chartFormat chart="10" format="27">
      <pivotArea type="data" outline="0" fieldPosition="0">
        <references count="2">
          <reference field="4294967294" count="1" selected="0">
            <x v="0"/>
          </reference>
          <reference field="7" count="1" selected="0">
            <x v="1"/>
          </reference>
        </references>
      </pivotArea>
    </chartFormat>
    <chartFormat chart="10" format="28">
      <pivotArea type="data" outline="0" fieldPosition="0">
        <references count="2">
          <reference field="4294967294" count="1" selected="0">
            <x v="0"/>
          </reference>
          <reference field="7" count="1" selected="0">
            <x v="0"/>
          </reference>
        </references>
      </pivotArea>
    </chartFormat>
    <chartFormat chart="10" format="2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DA74A2-D86E-4757-BD80-60B6A6BCD0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2">
    <pivotField showAll="0"/>
    <pivotField numFmtId="14" showAll="0"/>
    <pivotField showAll="0" sortType="descending">
      <autoSortScope>
        <pivotArea dataOnly="0" outline="0" fieldPosition="0">
          <references count="1">
            <reference field="4294967294" count="1" selected="0">
              <x v="0"/>
            </reference>
          </references>
        </pivotArea>
      </autoSortScope>
    </pivotField>
    <pivotField numFmtId="164" showAll="0"/>
    <pivotField numFmtId="2" showAll="0"/>
    <pivotField dataField="1" numFmtId="164"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items count="6">
        <item x="3"/>
        <item x="2"/>
        <item x="0"/>
        <item x="1"/>
        <item x="4"/>
        <item t="default"/>
      </items>
    </pivotField>
    <pivotField showAll="0">
      <items count="3">
        <item x="0"/>
        <item x="1"/>
        <item t="default"/>
      </items>
    </pivotField>
    <pivotField showAll="0"/>
  </pivotFields>
  <rowFields count="1">
    <field x="8"/>
  </rowFields>
  <rowItems count="6">
    <i>
      <x/>
    </i>
    <i>
      <x v="3"/>
    </i>
    <i>
      <x v="1"/>
    </i>
    <i>
      <x v="4"/>
    </i>
    <i>
      <x v="2"/>
    </i>
    <i t="grand">
      <x/>
    </i>
  </rowItems>
  <colItems count="1">
    <i/>
  </colItems>
  <dataFields count="1">
    <dataField name="Sum of Total Amount" fld="5" baseField="0" baseItem="0" numFmtId="164"/>
  </dataFields>
  <chartFormats count="15">
    <chartFormat chart="0" format="0"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 chart="5" format="22"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8" count="1" selected="0">
            <x v="0"/>
          </reference>
        </references>
      </pivotArea>
    </chartFormat>
    <chartFormat chart="5" format="27">
      <pivotArea type="data" outline="0" fieldPosition="0">
        <references count="2">
          <reference field="4294967294" count="1" selected="0">
            <x v="0"/>
          </reference>
          <reference field="8" count="1" selected="0">
            <x v="3"/>
          </reference>
        </references>
      </pivotArea>
    </chartFormat>
    <chartFormat chart="5" format="28">
      <pivotArea type="data" outline="0" fieldPosition="0">
        <references count="2">
          <reference field="4294967294" count="1" selected="0">
            <x v="0"/>
          </reference>
          <reference field="8" count="1" selected="0">
            <x v="1"/>
          </reference>
        </references>
      </pivotArea>
    </chartFormat>
    <chartFormat chart="5" format="29">
      <pivotArea type="data" outline="0" fieldPosition="0">
        <references count="2">
          <reference field="4294967294" count="1" selected="0">
            <x v="0"/>
          </reference>
          <reference field="8" count="1" selected="0">
            <x v="4"/>
          </reference>
        </references>
      </pivotArea>
    </chartFormat>
    <chartFormat chart="5" format="30">
      <pivotArea type="data" outline="0" fieldPosition="0">
        <references count="2">
          <reference field="4294967294" count="1" selected="0">
            <x v="0"/>
          </reference>
          <reference field="8" count="1" selected="0">
            <x v="2"/>
          </reference>
        </references>
      </pivotArea>
    </chartFormat>
    <chartFormat chart="9" format="37" series="1">
      <pivotArea type="data" outline="0" fieldPosition="0">
        <references count="1">
          <reference field="4294967294" count="1" selected="0">
            <x v="0"/>
          </reference>
        </references>
      </pivotArea>
    </chartFormat>
    <chartFormat chart="9" format="38">
      <pivotArea type="data" outline="0" fieldPosition="0">
        <references count="2">
          <reference field="4294967294" count="1" selected="0">
            <x v="0"/>
          </reference>
          <reference field="8" count="1" selected="0">
            <x v="0"/>
          </reference>
        </references>
      </pivotArea>
    </chartFormat>
    <chartFormat chart="9" format="39">
      <pivotArea type="data" outline="0" fieldPosition="0">
        <references count="2">
          <reference field="4294967294" count="1" selected="0">
            <x v="0"/>
          </reference>
          <reference field="8" count="1" selected="0">
            <x v="3"/>
          </reference>
        </references>
      </pivotArea>
    </chartFormat>
    <chartFormat chart="9" format="40">
      <pivotArea type="data" outline="0" fieldPosition="0">
        <references count="2">
          <reference field="4294967294" count="1" selected="0">
            <x v="0"/>
          </reference>
          <reference field="8" count="1" selected="0">
            <x v="1"/>
          </reference>
        </references>
      </pivotArea>
    </chartFormat>
    <chartFormat chart="9" format="41">
      <pivotArea type="data" outline="0" fieldPosition="0">
        <references count="2">
          <reference field="4294967294" count="1" selected="0">
            <x v="0"/>
          </reference>
          <reference field="8" count="1" selected="0">
            <x v="4"/>
          </reference>
        </references>
      </pivotArea>
    </chartFormat>
    <chartFormat chart="9" format="42">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8A9661-A2B6-45A8-A210-D05D4752C0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2">
    <pivotField showAll="0"/>
    <pivotField numFmtId="14" showAll="0"/>
    <pivotField showAll="0" sortType="descending">
      <autoSortScope>
        <pivotArea dataOnly="0" outline="0" fieldPosition="0">
          <references count="1">
            <reference field="4294967294" count="1" selected="0">
              <x v="0"/>
            </reference>
          </references>
        </pivotArea>
      </autoSortScope>
    </pivotField>
    <pivotField numFmtId="164" showAll="0"/>
    <pivotField numFmtId="2" showAll="0"/>
    <pivotField dataField="1" numFmtId="164"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items count="6">
        <item x="2"/>
        <item x="1"/>
        <item x="4"/>
        <item x="0"/>
        <item x="3"/>
        <item t="default"/>
      </items>
    </pivotField>
    <pivotField axis="axisRow"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s>
  <rowFields count="1">
    <field x="9"/>
  </rowFields>
  <rowItems count="6">
    <i>
      <x v="1"/>
    </i>
    <i>
      <x v="2"/>
    </i>
    <i>
      <x v="3"/>
    </i>
    <i>
      <x/>
    </i>
    <i>
      <x v="4"/>
    </i>
    <i t="grand">
      <x/>
    </i>
  </rowItems>
  <colItems count="1">
    <i/>
  </colItems>
  <dataFields count="1">
    <dataField name="Sum of Total Amount" fld="5" baseField="0" baseItem="0" numFmtId="164"/>
  </dataFields>
  <chartFormats count="16">
    <chartFormat chart="0" format="0"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 chart="5" format="22" series="1">
      <pivotArea type="data" outline="0" fieldPosition="0">
        <references count="1">
          <reference field="4294967294" count="1" selected="0">
            <x v="0"/>
          </reference>
        </references>
      </pivotArea>
    </chartFormat>
    <chartFormat chart="6" format="26" series="1">
      <pivotArea type="data" outline="0" fieldPosition="0">
        <references count="1">
          <reference field="4294967294" count="1" selected="0">
            <x v="0"/>
          </reference>
        </references>
      </pivotArea>
    </chartFormat>
    <chartFormat chart="6" format="30">
      <pivotArea type="data" outline="0" fieldPosition="0">
        <references count="2">
          <reference field="4294967294" count="1" selected="0">
            <x v="0"/>
          </reference>
          <reference field="9" count="1" selected="0">
            <x v="1"/>
          </reference>
        </references>
      </pivotArea>
    </chartFormat>
    <chartFormat chart="6" format="31">
      <pivotArea type="data" outline="0" fieldPosition="0">
        <references count="2">
          <reference field="4294967294" count="1" selected="0">
            <x v="0"/>
          </reference>
          <reference field="9" count="1" selected="0">
            <x v="2"/>
          </reference>
        </references>
      </pivotArea>
    </chartFormat>
    <chartFormat chart="6" format="32">
      <pivotArea type="data" outline="0" fieldPosition="0">
        <references count="2">
          <reference field="4294967294" count="1" selected="0">
            <x v="0"/>
          </reference>
          <reference field="9" count="1" selected="0">
            <x v="3"/>
          </reference>
        </references>
      </pivotArea>
    </chartFormat>
    <chartFormat chart="6" format="33">
      <pivotArea type="data" outline="0" fieldPosition="0">
        <references count="2">
          <reference field="4294967294" count="1" selected="0">
            <x v="0"/>
          </reference>
          <reference field="9" count="1" selected="0">
            <x v="0"/>
          </reference>
        </references>
      </pivotArea>
    </chartFormat>
    <chartFormat chart="6" format="34">
      <pivotArea type="data" outline="0" fieldPosition="0">
        <references count="2">
          <reference field="4294967294" count="1" selected="0">
            <x v="0"/>
          </reference>
          <reference field="9" count="1" selected="0">
            <x v="4"/>
          </reference>
        </references>
      </pivotArea>
    </chartFormat>
    <chartFormat chart="10" format="41" series="1">
      <pivotArea type="data" outline="0" fieldPosition="0">
        <references count="1">
          <reference field="4294967294" count="1" selected="0">
            <x v="0"/>
          </reference>
        </references>
      </pivotArea>
    </chartFormat>
    <chartFormat chart="10" format="42">
      <pivotArea type="data" outline="0" fieldPosition="0">
        <references count="2">
          <reference field="4294967294" count="1" selected="0">
            <x v="0"/>
          </reference>
          <reference field="9" count="1" selected="0">
            <x v="1"/>
          </reference>
        </references>
      </pivotArea>
    </chartFormat>
    <chartFormat chart="10" format="43">
      <pivotArea type="data" outline="0" fieldPosition="0">
        <references count="2">
          <reference field="4294967294" count="1" selected="0">
            <x v="0"/>
          </reference>
          <reference field="9" count="1" selected="0">
            <x v="2"/>
          </reference>
        </references>
      </pivotArea>
    </chartFormat>
    <chartFormat chart="10" format="44">
      <pivotArea type="data" outline="0" fieldPosition="0">
        <references count="2">
          <reference field="4294967294" count="1" selected="0">
            <x v="0"/>
          </reference>
          <reference field="9" count="1" selected="0">
            <x v="3"/>
          </reference>
        </references>
      </pivotArea>
    </chartFormat>
    <chartFormat chart="10" format="45">
      <pivotArea type="data" outline="0" fieldPosition="0">
        <references count="2">
          <reference field="4294967294" count="1" selected="0">
            <x v="0"/>
          </reference>
          <reference field="9" count="1" selected="0">
            <x v="0"/>
          </reference>
        </references>
      </pivotArea>
    </chartFormat>
    <chartFormat chart="10" format="46">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2BD299-E3F4-4EE4-9291-44968056A7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2">
    <pivotField showAll="0"/>
    <pivotField numFmtId="14" showAll="0"/>
    <pivotField showAll="0" sortType="descending">
      <autoSortScope>
        <pivotArea dataOnly="0" outline="0" fieldPosition="0">
          <references count="1">
            <reference field="4294967294" count="1" selected="0">
              <x v="0"/>
            </reference>
          </references>
        </pivotArea>
      </autoSortScope>
    </pivotField>
    <pivotField numFmtId="164" showAll="0"/>
    <pivotField numFmtId="2" showAll="0"/>
    <pivotField dataField="1" numFmtId="164"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items count="6">
        <item x="2"/>
        <item x="1"/>
        <item x="4"/>
        <item x="0"/>
        <item x="3"/>
        <item t="default"/>
      </items>
    </pivotField>
    <pivotField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axis="axisRow" showAll="0">
      <items count="3">
        <item x="0"/>
        <item x="1"/>
        <item t="default"/>
      </items>
    </pivotField>
    <pivotField showAll="0"/>
  </pivotFields>
  <rowFields count="1">
    <field x="10"/>
  </rowFields>
  <rowItems count="3">
    <i>
      <x/>
    </i>
    <i>
      <x v="1"/>
    </i>
    <i t="grand">
      <x/>
    </i>
  </rowItems>
  <colItems count="1">
    <i/>
  </colItems>
  <dataFields count="1">
    <dataField name="Sum of Total Amount" fld="5" showDataAs="percentOfTotal" baseField="0" baseItem="0" numFmtId="10"/>
  </dataFields>
  <chartFormats count="11">
    <chartFormat chart="0" format="0"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 chart="5" format="22" series="1">
      <pivotArea type="data" outline="0" fieldPosition="0">
        <references count="1">
          <reference field="4294967294" count="1" selected="0">
            <x v="0"/>
          </reference>
        </references>
      </pivotArea>
    </chartFormat>
    <chartFormat chart="6" format="26" series="1">
      <pivotArea type="data" outline="0" fieldPosition="0">
        <references count="1">
          <reference field="4294967294" count="1" selected="0">
            <x v="0"/>
          </reference>
        </references>
      </pivotArea>
    </chartFormat>
    <chartFormat chart="8" format="35" series="1">
      <pivotArea type="data" outline="0" fieldPosition="0">
        <references count="1">
          <reference field="4294967294" count="1" selected="0">
            <x v="0"/>
          </reference>
        </references>
      </pivotArea>
    </chartFormat>
    <chartFormat chart="8" format="41">
      <pivotArea type="data" outline="0" fieldPosition="0">
        <references count="2">
          <reference field="4294967294" count="1" selected="0">
            <x v="0"/>
          </reference>
          <reference field="10" count="1" selected="0">
            <x v="1"/>
          </reference>
        </references>
      </pivotArea>
    </chartFormat>
    <chartFormat chart="8" format="42">
      <pivotArea type="data" outline="0" fieldPosition="0">
        <references count="2">
          <reference field="4294967294" count="1" selected="0">
            <x v="0"/>
          </reference>
          <reference field="10" count="1" selected="0">
            <x v="0"/>
          </reference>
        </references>
      </pivotArea>
    </chartFormat>
    <chartFormat chart="12" format="46" series="1">
      <pivotArea type="data" outline="0" fieldPosition="0">
        <references count="1">
          <reference field="4294967294" count="1" selected="0">
            <x v="0"/>
          </reference>
        </references>
      </pivotArea>
    </chartFormat>
    <chartFormat chart="12" format="47">
      <pivotArea type="data" outline="0" fieldPosition="0">
        <references count="2">
          <reference field="4294967294" count="1" selected="0">
            <x v="0"/>
          </reference>
          <reference field="10" count="1" selected="0">
            <x v="0"/>
          </reference>
        </references>
      </pivotArea>
    </chartFormat>
    <chartFormat chart="12" format="4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83C9CF-6227-4652-8486-9588028E47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1" firstHeaderRow="1" firstDataRow="1" firstDataCol="1"/>
  <pivotFields count="12">
    <pivotField showAll="0"/>
    <pivotField numFmtId="14" showAll="0"/>
    <pivotField showAll="0" sortType="descending">
      <autoSortScope>
        <pivotArea dataOnly="0" outline="0" fieldPosition="0">
          <references count="1">
            <reference field="4294967294" count="1" selected="0">
              <x v="0"/>
            </reference>
          </references>
        </pivotArea>
      </autoSortScope>
    </pivotField>
    <pivotField numFmtId="164" showAll="0"/>
    <pivotField numFmtId="2" showAll="0"/>
    <pivotField dataField="1" numFmtId="164"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items count="6">
        <item x="2"/>
        <item x="1"/>
        <item x="4"/>
        <item x="0"/>
        <item x="3"/>
        <item t="default"/>
      </items>
    </pivotField>
    <pivotField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axis="axisRow" showAll="0">
      <items count="8">
        <item x="0"/>
        <item x="1"/>
        <item x="2"/>
        <item x="3"/>
        <item x="4"/>
        <item x="5"/>
        <item x="6"/>
        <item t="default"/>
      </items>
    </pivotField>
  </pivotFields>
  <rowFields count="1">
    <field x="11"/>
  </rowFields>
  <rowItems count="8">
    <i>
      <x/>
    </i>
    <i>
      <x v="1"/>
    </i>
    <i>
      <x v="2"/>
    </i>
    <i>
      <x v="3"/>
    </i>
    <i>
      <x v="4"/>
    </i>
    <i>
      <x v="5"/>
    </i>
    <i>
      <x v="6"/>
    </i>
    <i t="grand">
      <x/>
    </i>
  </rowItems>
  <colItems count="1">
    <i/>
  </colItems>
  <dataFields count="1">
    <dataField name="Sum of Total Amount" fld="5" baseField="0" baseItem="0" numFmtId="164"/>
  </dataFields>
  <chartFormats count="8">
    <chartFormat chart="0" format="0"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 chart="5" format="22" series="1">
      <pivotArea type="data" outline="0" fieldPosition="0">
        <references count="1">
          <reference field="4294967294" count="1" selected="0">
            <x v="0"/>
          </reference>
        </references>
      </pivotArea>
    </chartFormat>
    <chartFormat chart="6" format="26" series="1">
      <pivotArea type="data" outline="0" fieldPosition="0">
        <references count="1">
          <reference field="4294967294" count="1" selected="0">
            <x v="0"/>
          </reference>
        </references>
      </pivotArea>
    </chartFormat>
    <chartFormat chart="8" format="35" series="1">
      <pivotArea type="data" outline="0" fieldPosition="0">
        <references count="1">
          <reference field="4294967294" count="1" selected="0">
            <x v="0"/>
          </reference>
        </references>
      </pivotArea>
    </chartFormat>
    <chartFormat chart="10" format="43" series="1">
      <pivotArea type="data" outline="0" fieldPosition="0">
        <references count="1">
          <reference field="4294967294" count="1" selected="0">
            <x v="0"/>
          </reference>
        </references>
      </pivotArea>
    </chartFormat>
    <chartFormat chart="15" format="4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Type" xr10:uid="{A4859A30-F5BD-41B5-8499-960FB7185661}" sourceName="Purchase Type">
  <pivotTables>
    <pivotTable tabId="5" name="PivotTable1"/>
    <pivotTable tabId="12" name="PivotTable1"/>
    <pivotTable tabId="9" name="PivotTable1"/>
    <pivotTable tabId="11" name="PivotTable1"/>
    <pivotTable tabId="10" name="PivotTable1"/>
    <pivotTable tabId="13" name="PivotTable1"/>
  </pivotTables>
  <data>
    <tabular pivotCacheId="129811247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13BEAF44-0855-4347-817C-C32FD21FFEDE}" sourceName="Manager">
  <pivotTables>
    <pivotTable tabId="12" name="PivotTable1"/>
    <pivotTable tabId="9" name="PivotTable1"/>
    <pivotTable tabId="11" name="PivotTable1"/>
    <pivotTable tabId="5" name="PivotTable1"/>
    <pivotTable tabId="8" name="PivotTable1"/>
    <pivotTable tabId="13" name="PivotTable1"/>
  </pivotTables>
  <data>
    <tabular pivotCacheId="1298112478">
      <items count="5">
        <i x="2" s="1"/>
        <i x="1" s="1"/>
        <i x="4"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0B64FA7-A5F4-4F4D-8DFB-71FFDC52CBC8}" sourceName="City">
  <pivotTables>
    <pivotTable tabId="10" name="PivotTable1"/>
    <pivotTable tabId="12" name="PivotTable1"/>
    <pivotTable tabId="9" name="PivotTable1"/>
    <pivotTable tabId="5" name="PivotTable1"/>
    <pivotTable tabId="8" name="PivotTable1"/>
    <pivotTable tabId="13" name="PivotTable1"/>
  </pivotTables>
  <data>
    <tabular pivotCacheId="1298112478">
      <items count="5">
        <i x="3" s="1"/>
        <i x="2"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BD10E17F-3111-4309-9F3B-D01F5034D5F1}" sourceName="Months">
  <pivotTables>
    <pivotTable tabId="10" name="PivotTable1"/>
    <pivotTable tabId="9" name="PivotTable1"/>
    <pivotTable tabId="11" name="PivotTable1"/>
    <pivotTable tabId="5" name="PivotTable1"/>
    <pivotTable tabId="8" name="PivotTable1"/>
    <pivotTable tabId="13" name="PivotTable1"/>
  </pivotTables>
  <data>
    <tabular pivotCacheId="129811247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Type" xr10:uid="{7C21836D-C11F-443A-BEC0-3FA5FA70E5B2}" cache="Slicer_Purchase_Type" caption="Purchase Type" style="Sales DD" rowHeight="246513"/>
  <slicer name="Manager" xr10:uid="{58E9CAB5-B971-4C16-8845-6B09902D69E9}" cache="Slicer_Manager" caption="Manager" style="Sales DD" rowHeight="246513"/>
  <slicer name="City" xr10:uid="{AED1C79D-9547-4A8A-869E-E8C9E664D2A3}" cache="Slicer_City" caption="City" style="Sales DD" rowHeight="246513"/>
  <slicer name="Months" xr10:uid="{0896C63B-B9A6-4802-9DF0-E249A61707D3}" cache="Slicer_Months" caption="Months" style="Sales DD" rowHeight="24651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5AEFC0-EC59-458D-8EF9-3652B4544E47}" name="sales" displayName="sales" ref="A1:L255" totalsRowShown="0" headerRowDxfId="6">
  <autoFilter ref="A1:L255" xr:uid="{F05AEFC0-EC59-458D-8EF9-3652B4544E47}"/>
  <tableColumns count="12">
    <tableColumn id="1" xr3:uid="{6E4F230B-7B3D-4A70-BB9E-22FE0C0A43B9}" name="Order ID"/>
    <tableColumn id="2" xr3:uid="{8AAB1B03-15C5-422C-B818-769F048E6990}" name="Date" dataDxfId="5"/>
    <tableColumn id="3" xr3:uid="{DE1A6398-9AF5-4291-9FBD-7A56E329FEB1}" name="Product"/>
    <tableColumn id="4" xr3:uid="{0DF56744-0F3D-4BF5-9124-851B35295A26}" name="Price" dataDxfId="4"/>
    <tableColumn id="5" xr3:uid="{FC6CBD24-CE58-413D-9F86-232B4F887E4B}" name="Quantity" dataDxfId="3"/>
    <tableColumn id="12" xr3:uid="{D8FAB490-625C-481F-B42A-E513FDE26C4C}" name="Total Amount" dataDxfId="2">
      <calculatedColumnFormula>PRODUCT(D2,E2)</calculatedColumnFormula>
    </tableColumn>
    <tableColumn id="6" xr3:uid="{F00D7EFF-B247-4929-AA29-B5287508ABC1}" name="Purchase Type"/>
    <tableColumn id="7" xr3:uid="{10F75365-7BD3-43A2-9118-2D9FB7C5B3B5}" name="Payment Method"/>
    <tableColumn id="8" xr3:uid="{E9BD31D3-812F-48E7-A00D-B81A785DBA7E}" name="Manager"/>
    <tableColumn id="9" xr3:uid="{CECADAEB-7DCF-4F20-8A46-A142F4DBD328}" name="City"/>
    <tableColumn id="10" xr3:uid="{4AD6509F-3371-4AAA-BCF5-237A01F52D68}" name="Months" dataDxfId="1">
      <calculatedColumnFormula>TEXT(sales[[#This Row],[Date]],"mmm")</calculatedColumnFormula>
    </tableColumn>
    <tableColumn id="11" xr3:uid="{873CC555-0D43-49A5-BE9C-44CDF1516C5B}" name="Days" dataDxfId="0">
      <calculatedColumnFormula>TEXT(sales[[#This Row],[Date]],"ddd")</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65C5E-8EE2-47F9-86C8-31190CBDD379}">
  <dimension ref="A1:S255"/>
  <sheetViews>
    <sheetView workbookViewId="0">
      <selection activeCell="E4" sqref="E4"/>
    </sheetView>
  </sheetViews>
  <sheetFormatPr defaultRowHeight="14" x14ac:dyDescent="0.3"/>
  <cols>
    <col min="2" max="3" width="8.796875" customWidth="1"/>
    <col min="7" max="8" width="8.796875" customWidth="1"/>
  </cols>
  <sheetData>
    <row r="1" spans="1:19" x14ac:dyDescent="0.3">
      <c r="A1" t="s">
        <v>0</v>
      </c>
      <c r="B1" t="s">
        <v>1</v>
      </c>
      <c r="C1" t="s">
        <v>2</v>
      </c>
      <c r="D1" t="s">
        <v>3</v>
      </c>
      <c r="E1" t="s">
        <v>4</v>
      </c>
      <c r="F1" t="s">
        <v>5</v>
      </c>
      <c r="G1" t="s">
        <v>6</v>
      </c>
      <c r="H1" t="s">
        <v>7</v>
      </c>
      <c r="I1" t="s">
        <v>8</v>
      </c>
    </row>
    <row r="2" spans="1:19" x14ac:dyDescent="0.3">
      <c r="A2">
        <v>10452</v>
      </c>
      <c r="B2" s="1">
        <v>44872</v>
      </c>
      <c r="C2" t="s">
        <v>9</v>
      </c>
      <c r="D2">
        <v>3.49</v>
      </c>
      <c r="E2">
        <v>573.07000000000005</v>
      </c>
      <c r="F2" t="s">
        <v>10</v>
      </c>
      <c r="G2" t="s">
        <v>11</v>
      </c>
      <c r="H2" t="s">
        <v>12</v>
      </c>
      <c r="I2" t="s">
        <v>13</v>
      </c>
    </row>
    <row r="3" spans="1:19" x14ac:dyDescent="0.3">
      <c r="A3">
        <v>10453</v>
      </c>
      <c r="B3" s="1">
        <v>44872</v>
      </c>
      <c r="C3" t="s">
        <v>14</v>
      </c>
      <c r="D3">
        <v>2.95</v>
      </c>
      <c r="E3">
        <v>745.76</v>
      </c>
      <c r="F3" t="s">
        <v>10</v>
      </c>
      <c r="G3" t="s">
        <v>11</v>
      </c>
      <c r="H3" t="s">
        <v>15</v>
      </c>
      <c r="I3" t="s">
        <v>16</v>
      </c>
    </row>
    <row r="4" spans="1:19" x14ac:dyDescent="0.3">
      <c r="A4">
        <v>10454</v>
      </c>
      <c r="B4" s="1">
        <v>44872</v>
      </c>
      <c r="C4" t="s">
        <v>17</v>
      </c>
      <c r="D4">
        <v>4.99</v>
      </c>
      <c r="E4">
        <v>200.4</v>
      </c>
      <c r="F4" t="s">
        <v>18</v>
      </c>
      <c r="G4" t="s">
        <v>11</v>
      </c>
      <c r="H4" t="s">
        <v>19</v>
      </c>
      <c r="I4" t="s">
        <v>20</v>
      </c>
    </row>
    <row r="5" spans="1:19" x14ac:dyDescent="0.3">
      <c r="A5">
        <v>10455</v>
      </c>
      <c r="B5" s="1">
        <v>44873</v>
      </c>
      <c r="C5" t="s">
        <v>21</v>
      </c>
      <c r="D5">
        <v>12.99</v>
      </c>
      <c r="E5">
        <v>569.66999999999996</v>
      </c>
      <c r="F5" t="s">
        <v>18</v>
      </c>
      <c r="G5" t="s">
        <v>22</v>
      </c>
      <c r="H5" t="s">
        <v>23</v>
      </c>
      <c r="I5" t="s">
        <v>24</v>
      </c>
    </row>
    <row r="6" spans="1:19" x14ac:dyDescent="0.3">
      <c r="A6">
        <v>10456</v>
      </c>
      <c r="B6" s="1">
        <v>44873</v>
      </c>
      <c r="C6" t="s">
        <v>25</v>
      </c>
      <c r="D6">
        <v>9.9499999999999993</v>
      </c>
      <c r="E6">
        <v>201.01</v>
      </c>
      <c r="F6" t="s">
        <v>18</v>
      </c>
      <c r="G6" t="s">
        <v>22</v>
      </c>
      <c r="H6" t="s">
        <v>23</v>
      </c>
      <c r="I6" t="s">
        <v>24</v>
      </c>
    </row>
    <row r="7" spans="1:19" x14ac:dyDescent="0.3">
      <c r="A7">
        <v>10457</v>
      </c>
      <c r="B7" s="1">
        <v>44873</v>
      </c>
      <c r="C7" t="s">
        <v>9</v>
      </c>
      <c r="D7">
        <v>3.49</v>
      </c>
      <c r="E7">
        <v>573.07000000000005</v>
      </c>
      <c r="F7" t="s">
        <v>18</v>
      </c>
      <c r="G7" t="s">
        <v>22</v>
      </c>
      <c r="H7" t="s">
        <v>26</v>
      </c>
      <c r="I7" t="s">
        <v>27</v>
      </c>
    </row>
    <row r="8" spans="1:19" x14ac:dyDescent="0.3">
      <c r="A8">
        <v>10459</v>
      </c>
      <c r="B8" s="1">
        <v>44873</v>
      </c>
      <c r="C8" t="s">
        <v>17</v>
      </c>
      <c r="D8">
        <v>4.99</v>
      </c>
      <c r="E8">
        <v>200.4</v>
      </c>
      <c r="F8" t="s">
        <v>18</v>
      </c>
      <c r="G8" t="s">
        <v>22</v>
      </c>
      <c r="H8" t="s">
        <v>23</v>
      </c>
      <c r="I8" t="s">
        <v>24</v>
      </c>
    </row>
    <row r="9" spans="1:19" x14ac:dyDescent="0.3">
      <c r="A9">
        <v>10460</v>
      </c>
      <c r="B9" s="1">
        <v>44874</v>
      </c>
      <c r="C9" t="s">
        <v>21</v>
      </c>
      <c r="D9">
        <v>12.99</v>
      </c>
      <c r="E9">
        <v>554.27</v>
      </c>
      <c r="F9" t="s">
        <v>18</v>
      </c>
      <c r="G9" t="s">
        <v>22</v>
      </c>
      <c r="H9" t="s">
        <v>28</v>
      </c>
      <c r="I9" t="s">
        <v>27</v>
      </c>
      <c r="S9" t="s">
        <v>58</v>
      </c>
    </row>
    <row r="10" spans="1:19" x14ac:dyDescent="0.3">
      <c r="A10">
        <v>10461</v>
      </c>
      <c r="B10" s="1">
        <v>44874</v>
      </c>
      <c r="C10" t="s">
        <v>25</v>
      </c>
      <c r="D10">
        <v>9.9499999999999993</v>
      </c>
      <c r="E10">
        <v>201.01</v>
      </c>
      <c r="F10" t="s">
        <v>18</v>
      </c>
      <c r="G10" t="s">
        <v>22</v>
      </c>
      <c r="H10" t="s">
        <v>28</v>
      </c>
      <c r="I10" t="s">
        <v>27</v>
      </c>
      <c r="S10" t="s">
        <v>57</v>
      </c>
    </row>
    <row r="11" spans="1:19" x14ac:dyDescent="0.3">
      <c r="A11">
        <v>10462</v>
      </c>
      <c r="B11" s="1">
        <v>44874</v>
      </c>
      <c r="C11" t="s">
        <v>9</v>
      </c>
      <c r="D11">
        <v>3.49</v>
      </c>
      <c r="E11">
        <v>573.07000000000005</v>
      </c>
      <c r="F11" t="s">
        <v>18</v>
      </c>
      <c r="G11" t="s">
        <v>22</v>
      </c>
      <c r="H11" t="s">
        <v>29</v>
      </c>
      <c r="I11" t="s">
        <v>27</v>
      </c>
      <c r="S11" t="s">
        <v>56</v>
      </c>
    </row>
    <row r="12" spans="1:19" x14ac:dyDescent="0.3">
      <c r="A12">
        <v>10463</v>
      </c>
      <c r="B12" s="1">
        <v>44874</v>
      </c>
      <c r="C12" t="s">
        <v>14</v>
      </c>
      <c r="D12">
        <v>2.95</v>
      </c>
      <c r="E12">
        <v>677.97</v>
      </c>
      <c r="F12" t="s">
        <v>18</v>
      </c>
      <c r="G12" t="s">
        <v>22</v>
      </c>
      <c r="H12" t="s">
        <v>29</v>
      </c>
      <c r="I12" t="s">
        <v>27</v>
      </c>
      <c r="S12" t="s">
        <v>55</v>
      </c>
    </row>
    <row r="13" spans="1:19" x14ac:dyDescent="0.3">
      <c r="A13">
        <v>10464</v>
      </c>
      <c r="B13" s="1">
        <v>44874</v>
      </c>
      <c r="C13" t="s">
        <v>17</v>
      </c>
      <c r="D13">
        <v>4.99</v>
      </c>
      <c r="E13">
        <v>200.4</v>
      </c>
      <c r="F13" t="s">
        <v>18</v>
      </c>
      <c r="G13" t="s">
        <v>22</v>
      </c>
      <c r="H13" t="s">
        <v>30</v>
      </c>
      <c r="I13" t="s">
        <v>27</v>
      </c>
      <c r="S13" t="s">
        <v>54</v>
      </c>
    </row>
    <row r="14" spans="1:19" x14ac:dyDescent="0.3">
      <c r="A14">
        <v>10465</v>
      </c>
      <c r="B14" s="1">
        <v>44875</v>
      </c>
      <c r="C14" t="s">
        <v>21</v>
      </c>
      <c r="D14">
        <v>12.99</v>
      </c>
      <c r="E14">
        <v>554.27</v>
      </c>
      <c r="F14" t="s">
        <v>18</v>
      </c>
      <c r="G14" t="s">
        <v>22</v>
      </c>
      <c r="H14" t="s">
        <v>31</v>
      </c>
      <c r="I14" t="s">
        <v>16</v>
      </c>
    </row>
    <row r="15" spans="1:19" x14ac:dyDescent="0.3">
      <c r="A15">
        <v>10466</v>
      </c>
      <c r="B15" s="1">
        <v>44875</v>
      </c>
      <c r="C15" t="s">
        <v>25</v>
      </c>
      <c r="D15">
        <v>9.9499999999999993</v>
      </c>
      <c r="E15">
        <v>201.01</v>
      </c>
      <c r="F15" t="s">
        <v>18</v>
      </c>
      <c r="G15" t="s">
        <v>22</v>
      </c>
      <c r="H15" t="s">
        <v>31</v>
      </c>
      <c r="I15" t="s">
        <v>16</v>
      </c>
    </row>
    <row r="16" spans="1:19" x14ac:dyDescent="0.3">
      <c r="A16">
        <v>10467</v>
      </c>
      <c r="B16" s="1">
        <v>44875</v>
      </c>
      <c r="C16" t="s">
        <v>9</v>
      </c>
      <c r="D16">
        <v>3.49</v>
      </c>
      <c r="E16">
        <v>573.07000000000005</v>
      </c>
      <c r="F16" t="s">
        <v>18</v>
      </c>
      <c r="G16" t="s">
        <v>22</v>
      </c>
      <c r="H16" t="s">
        <v>31</v>
      </c>
      <c r="I16" t="s">
        <v>16</v>
      </c>
    </row>
    <row r="17" spans="1:9" x14ac:dyDescent="0.3">
      <c r="A17">
        <v>10468</v>
      </c>
      <c r="B17" s="1">
        <v>44875</v>
      </c>
      <c r="C17" t="s">
        <v>14</v>
      </c>
      <c r="D17">
        <v>2.95</v>
      </c>
      <c r="E17">
        <v>677.97</v>
      </c>
      <c r="F17" t="s">
        <v>18</v>
      </c>
      <c r="G17" t="s">
        <v>22</v>
      </c>
      <c r="H17" t="s">
        <v>15</v>
      </c>
      <c r="I17" t="s">
        <v>16</v>
      </c>
    </row>
    <row r="18" spans="1:9" x14ac:dyDescent="0.3">
      <c r="A18">
        <v>10470</v>
      </c>
      <c r="B18" s="1">
        <v>44876</v>
      </c>
      <c r="C18" t="s">
        <v>21</v>
      </c>
      <c r="D18">
        <v>12.99</v>
      </c>
      <c r="E18">
        <v>554.27</v>
      </c>
      <c r="F18" t="s">
        <v>18</v>
      </c>
      <c r="G18" t="s">
        <v>22</v>
      </c>
      <c r="H18" t="s">
        <v>15</v>
      </c>
      <c r="I18" t="s">
        <v>16</v>
      </c>
    </row>
    <row r="19" spans="1:9" x14ac:dyDescent="0.3">
      <c r="A19">
        <v>10471</v>
      </c>
      <c r="B19" s="1">
        <v>44876</v>
      </c>
      <c r="C19" t="s">
        <v>25</v>
      </c>
      <c r="D19">
        <v>9.9499999999999993</v>
      </c>
      <c r="E19">
        <v>201.01</v>
      </c>
      <c r="F19" t="s">
        <v>18</v>
      </c>
      <c r="G19" t="s">
        <v>22</v>
      </c>
      <c r="H19" t="s">
        <v>15</v>
      </c>
      <c r="I19" t="s">
        <v>16</v>
      </c>
    </row>
    <row r="20" spans="1:9" x14ac:dyDescent="0.3">
      <c r="A20">
        <v>10472</v>
      </c>
      <c r="B20" s="1">
        <v>44876</v>
      </c>
      <c r="C20" t="s">
        <v>9</v>
      </c>
      <c r="D20">
        <v>3.49</v>
      </c>
      <c r="E20">
        <v>630.37</v>
      </c>
      <c r="F20" t="s">
        <v>18</v>
      </c>
      <c r="G20" t="s">
        <v>22</v>
      </c>
      <c r="H20" t="s">
        <v>32</v>
      </c>
      <c r="I20" t="s">
        <v>16</v>
      </c>
    </row>
    <row r="21" spans="1:9" x14ac:dyDescent="0.3">
      <c r="A21">
        <v>10473</v>
      </c>
      <c r="B21" s="1">
        <v>44876</v>
      </c>
      <c r="C21" t="s">
        <v>14</v>
      </c>
      <c r="D21">
        <v>2.95</v>
      </c>
      <c r="E21">
        <v>677.97</v>
      </c>
      <c r="F21" t="s">
        <v>18</v>
      </c>
      <c r="G21" t="s">
        <v>22</v>
      </c>
      <c r="H21" t="s">
        <v>15</v>
      </c>
      <c r="I21" t="s">
        <v>16</v>
      </c>
    </row>
    <row r="22" spans="1:9" x14ac:dyDescent="0.3">
      <c r="A22">
        <v>10474</v>
      </c>
      <c r="B22" s="1">
        <v>44876</v>
      </c>
      <c r="C22" t="s">
        <v>17</v>
      </c>
      <c r="D22">
        <v>4.99</v>
      </c>
      <c r="E22">
        <v>200.4</v>
      </c>
      <c r="F22" t="s">
        <v>18</v>
      </c>
      <c r="G22" t="s">
        <v>22</v>
      </c>
      <c r="H22" t="s">
        <v>15</v>
      </c>
      <c r="I22" t="s">
        <v>16</v>
      </c>
    </row>
    <row r="23" spans="1:9" x14ac:dyDescent="0.3">
      <c r="A23">
        <v>10475</v>
      </c>
      <c r="B23" s="1">
        <v>44877</v>
      </c>
      <c r="C23" t="s">
        <v>21</v>
      </c>
      <c r="D23">
        <v>12.99</v>
      </c>
      <c r="E23">
        <v>523.48</v>
      </c>
      <c r="F23" t="s">
        <v>18</v>
      </c>
      <c r="G23" t="s">
        <v>22</v>
      </c>
      <c r="H23" t="s">
        <v>15</v>
      </c>
      <c r="I23" t="s">
        <v>16</v>
      </c>
    </row>
    <row r="24" spans="1:9" x14ac:dyDescent="0.3">
      <c r="A24">
        <v>10476</v>
      </c>
      <c r="B24" s="1">
        <v>44877</v>
      </c>
      <c r="C24" t="s">
        <v>25</v>
      </c>
      <c r="D24">
        <v>9.9499999999999993</v>
      </c>
      <c r="E24">
        <v>201.01</v>
      </c>
      <c r="F24" t="s">
        <v>18</v>
      </c>
      <c r="G24" t="s">
        <v>22</v>
      </c>
      <c r="H24" t="s">
        <v>31</v>
      </c>
      <c r="I24" t="s">
        <v>16</v>
      </c>
    </row>
    <row r="25" spans="1:9" x14ac:dyDescent="0.3">
      <c r="A25">
        <v>10477</v>
      </c>
      <c r="B25" s="1">
        <v>44877</v>
      </c>
      <c r="C25" t="s">
        <v>9</v>
      </c>
      <c r="D25">
        <v>3.49</v>
      </c>
      <c r="E25">
        <v>630.37</v>
      </c>
      <c r="F25" t="s">
        <v>18</v>
      </c>
      <c r="G25" t="s">
        <v>22</v>
      </c>
      <c r="H25" t="s">
        <v>33</v>
      </c>
      <c r="I25" t="s">
        <v>16</v>
      </c>
    </row>
    <row r="26" spans="1:9" x14ac:dyDescent="0.3">
      <c r="A26">
        <v>10478</v>
      </c>
      <c r="B26" s="1">
        <v>44877</v>
      </c>
      <c r="C26" t="s">
        <v>14</v>
      </c>
      <c r="D26">
        <v>2.95</v>
      </c>
      <c r="E26">
        <v>677.97</v>
      </c>
      <c r="F26" t="s">
        <v>18</v>
      </c>
      <c r="G26" t="s">
        <v>22</v>
      </c>
      <c r="H26" t="s">
        <v>31</v>
      </c>
      <c r="I26" t="s">
        <v>16</v>
      </c>
    </row>
    <row r="27" spans="1:9" x14ac:dyDescent="0.3">
      <c r="A27">
        <v>10479</v>
      </c>
      <c r="B27" s="1">
        <v>44877</v>
      </c>
      <c r="C27" t="s">
        <v>17</v>
      </c>
      <c r="D27">
        <v>4.99</v>
      </c>
      <c r="E27">
        <v>200.4</v>
      </c>
      <c r="F27" t="s">
        <v>18</v>
      </c>
      <c r="G27" t="s">
        <v>22</v>
      </c>
      <c r="H27" t="s">
        <v>34</v>
      </c>
      <c r="I27" t="s">
        <v>16</v>
      </c>
    </row>
    <row r="28" spans="1:9" x14ac:dyDescent="0.3">
      <c r="A28">
        <v>10480</v>
      </c>
      <c r="B28" s="1">
        <v>44878</v>
      </c>
      <c r="C28" t="s">
        <v>21</v>
      </c>
      <c r="D28">
        <v>12.99</v>
      </c>
      <c r="E28">
        <v>508.08</v>
      </c>
      <c r="F28" t="s">
        <v>18</v>
      </c>
      <c r="G28" t="s">
        <v>22</v>
      </c>
      <c r="H28" t="s">
        <v>31</v>
      </c>
      <c r="I28" t="s">
        <v>16</v>
      </c>
    </row>
    <row r="29" spans="1:9" x14ac:dyDescent="0.3">
      <c r="A29">
        <v>10481</v>
      </c>
      <c r="B29" s="1">
        <v>44878</v>
      </c>
      <c r="C29" t="s">
        <v>25</v>
      </c>
      <c r="D29">
        <v>9.9499999999999993</v>
      </c>
      <c r="E29">
        <v>201.01</v>
      </c>
      <c r="F29" t="s">
        <v>18</v>
      </c>
      <c r="G29" t="s">
        <v>22</v>
      </c>
      <c r="H29" t="s">
        <v>31</v>
      </c>
      <c r="I29" t="s">
        <v>16</v>
      </c>
    </row>
    <row r="30" spans="1:9" x14ac:dyDescent="0.3">
      <c r="A30">
        <v>10482</v>
      </c>
      <c r="B30" s="1">
        <v>44878</v>
      </c>
      <c r="C30" t="s">
        <v>9</v>
      </c>
      <c r="D30">
        <v>25.5</v>
      </c>
      <c r="E30">
        <v>630.37</v>
      </c>
      <c r="F30" t="s">
        <v>18</v>
      </c>
      <c r="G30" t="s">
        <v>22</v>
      </c>
      <c r="H30" t="s">
        <v>35</v>
      </c>
      <c r="I30" t="s">
        <v>20</v>
      </c>
    </row>
    <row r="31" spans="1:9" x14ac:dyDescent="0.3">
      <c r="A31">
        <v>10486</v>
      </c>
      <c r="B31" s="1">
        <v>44879</v>
      </c>
      <c r="C31" t="s">
        <v>25</v>
      </c>
      <c r="D31">
        <v>29.05</v>
      </c>
      <c r="E31">
        <v>201.01</v>
      </c>
      <c r="F31" t="s">
        <v>18</v>
      </c>
      <c r="G31" t="s">
        <v>22</v>
      </c>
      <c r="H31" t="s">
        <v>19</v>
      </c>
      <c r="I31" t="s">
        <v>20</v>
      </c>
    </row>
    <row r="32" spans="1:9" x14ac:dyDescent="0.3">
      <c r="A32">
        <v>10487</v>
      </c>
      <c r="B32" s="1">
        <v>44879</v>
      </c>
      <c r="C32" t="s">
        <v>9</v>
      </c>
      <c r="D32">
        <v>3.49</v>
      </c>
      <c r="E32">
        <v>630.37</v>
      </c>
      <c r="F32" t="s">
        <v>18</v>
      </c>
      <c r="G32" t="s">
        <v>22</v>
      </c>
      <c r="H32" t="s">
        <v>35</v>
      </c>
      <c r="I32" t="s">
        <v>20</v>
      </c>
    </row>
    <row r="33" spans="1:9" x14ac:dyDescent="0.3">
      <c r="A33">
        <v>10488</v>
      </c>
      <c r="B33" s="1">
        <v>44879</v>
      </c>
      <c r="C33" t="s">
        <v>14</v>
      </c>
      <c r="D33">
        <v>2.95</v>
      </c>
      <c r="E33">
        <v>677.97</v>
      </c>
      <c r="F33" t="s">
        <v>18</v>
      </c>
      <c r="G33" t="s">
        <v>22</v>
      </c>
      <c r="H33" t="s">
        <v>35</v>
      </c>
      <c r="I33" t="s">
        <v>20</v>
      </c>
    </row>
    <row r="34" spans="1:9" x14ac:dyDescent="0.3">
      <c r="A34">
        <v>10489</v>
      </c>
      <c r="B34" s="1">
        <v>44879</v>
      </c>
      <c r="C34" t="s">
        <v>17</v>
      </c>
      <c r="D34">
        <v>4.99</v>
      </c>
      <c r="E34">
        <v>200.4</v>
      </c>
      <c r="F34" t="s">
        <v>18</v>
      </c>
      <c r="G34" t="s">
        <v>22</v>
      </c>
      <c r="H34" t="s">
        <v>31</v>
      </c>
      <c r="I34" t="s">
        <v>16</v>
      </c>
    </row>
    <row r="35" spans="1:9" x14ac:dyDescent="0.3">
      <c r="A35">
        <v>10490</v>
      </c>
      <c r="B35" s="1">
        <v>44880</v>
      </c>
      <c r="C35" t="s">
        <v>21</v>
      </c>
      <c r="D35">
        <v>12.99</v>
      </c>
      <c r="E35">
        <v>508.08</v>
      </c>
      <c r="F35" t="s">
        <v>18</v>
      </c>
      <c r="G35" t="s">
        <v>22</v>
      </c>
      <c r="H35" t="s">
        <v>31</v>
      </c>
      <c r="I35" t="s">
        <v>16</v>
      </c>
    </row>
    <row r="36" spans="1:9" x14ac:dyDescent="0.3">
      <c r="A36">
        <v>10491</v>
      </c>
      <c r="B36" s="1">
        <v>44880</v>
      </c>
      <c r="C36" t="s">
        <v>25</v>
      </c>
      <c r="D36">
        <v>9.9499999999999993</v>
      </c>
      <c r="E36">
        <v>201.01</v>
      </c>
      <c r="F36" t="s">
        <v>18</v>
      </c>
      <c r="G36" t="s">
        <v>22</v>
      </c>
      <c r="H36" t="s">
        <v>31</v>
      </c>
      <c r="I36" t="s">
        <v>16</v>
      </c>
    </row>
    <row r="37" spans="1:9" x14ac:dyDescent="0.3">
      <c r="A37">
        <v>10492</v>
      </c>
      <c r="B37" s="1">
        <v>44880</v>
      </c>
      <c r="C37" t="s">
        <v>9</v>
      </c>
      <c r="D37">
        <v>3.49</v>
      </c>
      <c r="E37">
        <v>573.07000000000005</v>
      </c>
      <c r="F37" t="s">
        <v>18</v>
      </c>
      <c r="G37" t="s">
        <v>22</v>
      </c>
      <c r="H37" t="s">
        <v>31</v>
      </c>
      <c r="I37" t="s">
        <v>16</v>
      </c>
    </row>
    <row r="38" spans="1:9" x14ac:dyDescent="0.3">
      <c r="A38">
        <v>10493</v>
      </c>
      <c r="B38" s="1">
        <v>44880</v>
      </c>
      <c r="C38" t="s">
        <v>14</v>
      </c>
      <c r="D38">
        <v>2.95</v>
      </c>
      <c r="E38">
        <v>677.97</v>
      </c>
      <c r="F38" t="s">
        <v>18</v>
      </c>
      <c r="G38" t="s">
        <v>22</v>
      </c>
      <c r="H38" t="s">
        <v>31</v>
      </c>
      <c r="I38" t="s">
        <v>16</v>
      </c>
    </row>
    <row r="39" spans="1:9" x14ac:dyDescent="0.3">
      <c r="A39">
        <v>10494</v>
      </c>
      <c r="B39" s="1">
        <v>44880</v>
      </c>
      <c r="C39" t="s">
        <v>17</v>
      </c>
      <c r="D39">
        <v>4.99</v>
      </c>
      <c r="E39">
        <v>200.4</v>
      </c>
      <c r="F39" t="s">
        <v>18</v>
      </c>
      <c r="G39" t="s">
        <v>22</v>
      </c>
      <c r="H39" t="s">
        <v>31</v>
      </c>
      <c r="I39" t="s">
        <v>16</v>
      </c>
    </row>
    <row r="40" spans="1:9" x14ac:dyDescent="0.3">
      <c r="A40">
        <v>10495</v>
      </c>
      <c r="B40" s="1">
        <v>44881</v>
      </c>
      <c r="C40" t="s">
        <v>21</v>
      </c>
      <c r="D40">
        <v>12.99</v>
      </c>
      <c r="E40">
        <v>508.08</v>
      </c>
      <c r="F40" t="s">
        <v>18</v>
      </c>
      <c r="G40" t="s">
        <v>22</v>
      </c>
      <c r="H40" t="s">
        <v>31</v>
      </c>
      <c r="I40" t="s">
        <v>16</v>
      </c>
    </row>
    <row r="41" spans="1:9" x14ac:dyDescent="0.3">
      <c r="A41">
        <v>10496</v>
      </c>
      <c r="B41" s="1">
        <v>44881</v>
      </c>
      <c r="C41" t="s">
        <v>25</v>
      </c>
      <c r="D41">
        <v>9.9499999999999993</v>
      </c>
      <c r="E41">
        <v>201.01</v>
      </c>
      <c r="F41" t="s">
        <v>18</v>
      </c>
      <c r="G41" t="s">
        <v>22</v>
      </c>
      <c r="H41" t="s">
        <v>31</v>
      </c>
      <c r="I41" t="s">
        <v>16</v>
      </c>
    </row>
    <row r="42" spans="1:9" x14ac:dyDescent="0.3">
      <c r="A42">
        <v>10497</v>
      </c>
      <c r="B42" s="1">
        <v>44881</v>
      </c>
      <c r="C42" t="s">
        <v>9</v>
      </c>
      <c r="D42">
        <v>3.49</v>
      </c>
      <c r="E42">
        <v>573.07000000000005</v>
      </c>
      <c r="F42" t="s">
        <v>18</v>
      </c>
      <c r="G42" t="s">
        <v>22</v>
      </c>
      <c r="H42" t="s">
        <v>31</v>
      </c>
      <c r="I42" t="s">
        <v>16</v>
      </c>
    </row>
    <row r="43" spans="1:9" x14ac:dyDescent="0.3">
      <c r="A43">
        <v>10498</v>
      </c>
      <c r="B43" s="1">
        <v>44881</v>
      </c>
      <c r="C43" t="s">
        <v>14</v>
      </c>
      <c r="D43">
        <v>2.95</v>
      </c>
      <c r="E43">
        <v>677.97</v>
      </c>
      <c r="F43" t="s">
        <v>36</v>
      </c>
      <c r="G43" t="s">
        <v>22</v>
      </c>
      <c r="H43" t="s">
        <v>31</v>
      </c>
      <c r="I43" t="s">
        <v>16</v>
      </c>
    </row>
    <row r="44" spans="1:9" x14ac:dyDescent="0.3">
      <c r="A44">
        <v>10499</v>
      </c>
      <c r="B44" s="1">
        <v>44881</v>
      </c>
      <c r="C44" t="s">
        <v>17</v>
      </c>
      <c r="D44">
        <v>4.99</v>
      </c>
      <c r="E44">
        <v>200.4</v>
      </c>
      <c r="F44" t="s">
        <v>36</v>
      </c>
      <c r="G44" t="s">
        <v>22</v>
      </c>
      <c r="H44" t="s">
        <v>31</v>
      </c>
      <c r="I44" t="s">
        <v>16</v>
      </c>
    </row>
    <row r="45" spans="1:9" x14ac:dyDescent="0.3">
      <c r="A45">
        <v>10500</v>
      </c>
      <c r="B45" s="1">
        <v>44882</v>
      </c>
      <c r="C45" t="s">
        <v>21</v>
      </c>
      <c r="D45">
        <v>12.99</v>
      </c>
      <c r="E45">
        <v>523.48</v>
      </c>
      <c r="F45" t="s">
        <v>36</v>
      </c>
      <c r="G45" t="s">
        <v>22</v>
      </c>
      <c r="H45" t="s">
        <v>31</v>
      </c>
      <c r="I45" t="s">
        <v>16</v>
      </c>
    </row>
    <row r="46" spans="1:9" x14ac:dyDescent="0.3">
      <c r="A46">
        <v>10501</v>
      </c>
      <c r="B46" s="1">
        <v>44882</v>
      </c>
      <c r="C46" t="s">
        <v>25</v>
      </c>
      <c r="D46">
        <v>9.9499999999999993</v>
      </c>
      <c r="E46">
        <v>201.01</v>
      </c>
      <c r="F46" t="s">
        <v>36</v>
      </c>
      <c r="G46" t="s">
        <v>22</v>
      </c>
      <c r="H46" t="s">
        <v>31</v>
      </c>
      <c r="I46" t="s">
        <v>16</v>
      </c>
    </row>
    <row r="47" spans="1:9" x14ac:dyDescent="0.3">
      <c r="A47">
        <v>10502</v>
      </c>
      <c r="B47" s="1">
        <v>44882</v>
      </c>
      <c r="C47" t="s">
        <v>9</v>
      </c>
      <c r="D47">
        <v>3.49</v>
      </c>
      <c r="E47">
        <v>630.37</v>
      </c>
      <c r="F47" t="s">
        <v>36</v>
      </c>
      <c r="G47" t="s">
        <v>22</v>
      </c>
      <c r="H47" t="s">
        <v>31</v>
      </c>
      <c r="I47" t="s">
        <v>16</v>
      </c>
    </row>
    <row r="48" spans="1:9" x14ac:dyDescent="0.3">
      <c r="A48">
        <v>10503</v>
      </c>
      <c r="B48" s="1">
        <v>44882</v>
      </c>
      <c r="C48" t="s">
        <v>14</v>
      </c>
      <c r="D48">
        <v>2.95</v>
      </c>
      <c r="E48">
        <v>677.97</v>
      </c>
      <c r="F48" t="s">
        <v>36</v>
      </c>
      <c r="G48" t="s">
        <v>22</v>
      </c>
      <c r="H48" t="s">
        <v>31</v>
      </c>
      <c r="I48" t="s">
        <v>16</v>
      </c>
    </row>
    <row r="49" spans="1:9" x14ac:dyDescent="0.3">
      <c r="A49">
        <v>10504</v>
      </c>
      <c r="B49" s="1">
        <v>44882</v>
      </c>
      <c r="C49" t="s">
        <v>17</v>
      </c>
      <c r="D49">
        <v>4.99</v>
      </c>
      <c r="E49">
        <v>200.4</v>
      </c>
      <c r="F49" t="s">
        <v>36</v>
      </c>
      <c r="G49" t="s">
        <v>22</v>
      </c>
      <c r="H49" t="s">
        <v>31</v>
      </c>
      <c r="I49" t="s">
        <v>16</v>
      </c>
    </row>
    <row r="50" spans="1:9" x14ac:dyDescent="0.3">
      <c r="A50">
        <v>10505</v>
      </c>
      <c r="B50" s="1">
        <v>44883</v>
      </c>
      <c r="C50" t="s">
        <v>21</v>
      </c>
      <c r="D50">
        <v>12.99</v>
      </c>
      <c r="E50">
        <v>538.88</v>
      </c>
      <c r="F50" t="s">
        <v>36</v>
      </c>
      <c r="G50" t="s">
        <v>22</v>
      </c>
      <c r="H50" t="s">
        <v>31</v>
      </c>
      <c r="I50" t="s">
        <v>16</v>
      </c>
    </row>
    <row r="51" spans="1:9" x14ac:dyDescent="0.3">
      <c r="A51">
        <v>10506</v>
      </c>
      <c r="B51" s="1">
        <v>44883</v>
      </c>
      <c r="C51" t="s">
        <v>25</v>
      </c>
      <c r="D51">
        <v>9.9499999999999993</v>
      </c>
      <c r="E51">
        <v>201.01</v>
      </c>
      <c r="F51" t="s">
        <v>36</v>
      </c>
      <c r="G51" t="s">
        <v>22</v>
      </c>
      <c r="H51" t="s">
        <v>31</v>
      </c>
      <c r="I51" t="s">
        <v>16</v>
      </c>
    </row>
    <row r="52" spans="1:9" x14ac:dyDescent="0.3">
      <c r="A52">
        <v>10507</v>
      </c>
      <c r="B52" s="1">
        <v>44883</v>
      </c>
      <c r="C52" t="s">
        <v>9</v>
      </c>
      <c r="D52">
        <v>3.49</v>
      </c>
      <c r="E52">
        <v>687.68</v>
      </c>
      <c r="F52" t="s">
        <v>36</v>
      </c>
      <c r="G52" t="s">
        <v>22</v>
      </c>
      <c r="H52" t="s">
        <v>31</v>
      </c>
      <c r="I52" t="s">
        <v>16</v>
      </c>
    </row>
    <row r="53" spans="1:9" x14ac:dyDescent="0.3">
      <c r="A53">
        <v>10508</v>
      </c>
      <c r="B53" s="1">
        <v>44883</v>
      </c>
      <c r="C53" t="s">
        <v>14</v>
      </c>
      <c r="D53">
        <v>2.95</v>
      </c>
      <c r="E53">
        <v>677.97</v>
      </c>
      <c r="F53" t="s">
        <v>36</v>
      </c>
      <c r="G53" t="s">
        <v>22</v>
      </c>
      <c r="H53" t="s">
        <v>31</v>
      </c>
      <c r="I53" t="s">
        <v>16</v>
      </c>
    </row>
    <row r="54" spans="1:9" x14ac:dyDescent="0.3">
      <c r="A54">
        <v>10509</v>
      </c>
      <c r="B54" s="1">
        <v>44883</v>
      </c>
      <c r="C54" t="s">
        <v>17</v>
      </c>
      <c r="D54">
        <v>4.99</v>
      </c>
      <c r="E54">
        <v>200.4</v>
      </c>
      <c r="F54" t="s">
        <v>36</v>
      </c>
      <c r="G54" t="s">
        <v>22</v>
      </c>
      <c r="H54" t="s">
        <v>31</v>
      </c>
      <c r="I54" t="s">
        <v>16</v>
      </c>
    </row>
    <row r="55" spans="1:9" x14ac:dyDescent="0.3">
      <c r="A55">
        <v>10510</v>
      </c>
      <c r="B55" s="1">
        <v>44884</v>
      </c>
      <c r="C55" t="s">
        <v>21</v>
      </c>
      <c r="D55">
        <v>12.99</v>
      </c>
      <c r="E55">
        <v>508.08</v>
      </c>
      <c r="F55" t="s">
        <v>36</v>
      </c>
      <c r="G55" t="s">
        <v>22</v>
      </c>
      <c r="H55" t="s">
        <v>31</v>
      </c>
      <c r="I55" t="s">
        <v>16</v>
      </c>
    </row>
    <row r="56" spans="1:9" x14ac:dyDescent="0.3">
      <c r="A56">
        <v>10511</v>
      </c>
      <c r="B56" s="1">
        <v>44884</v>
      </c>
      <c r="C56" t="s">
        <v>25</v>
      </c>
      <c r="D56">
        <v>9.9499999999999993</v>
      </c>
      <c r="E56">
        <v>201.01</v>
      </c>
      <c r="F56" t="s">
        <v>36</v>
      </c>
      <c r="G56" t="s">
        <v>22</v>
      </c>
      <c r="H56" t="s">
        <v>35</v>
      </c>
      <c r="I56" t="s">
        <v>20</v>
      </c>
    </row>
    <row r="57" spans="1:9" x14ac:dyDescent="0.3">
      <c r="A57">
        <v>10512</v>
      </c>
      <c r="B57" s="1">
        <v>44884</v>
      </c>
      <c r="C57" t="s">
        <v>9</v>
      </c>
      <c r="D57">
        <v>3.49</v>
      </c>
      <c r="E57">
        <v>687.68</v>
      </c>
      <c r="F57" t="s">
        <v>36</v>
      </c>
      <c r="G57" t="s">
        <v>22</v>
      </c>
      <c r="H57" t="s">
        <v>35</v>
      </c>
      <c r="I57" t="s">
        <v>20</v>
      </c>
    </row>
    <row r="58" spans="1:9" x14ac:dyDescent="0.3">
      <c r="A58">
        <v>10513</v>
      </c>
      <c r="B58" s="1">
        <v>44884</v>
      </c>
      <c r="C58" t="s">
        <v>14</v>
      </c>
      <c r="D58">
        <v>2.95</v>
      </c>
      <c r="E58">
        <v>677.97</v>
      </c>
      <c r="F58" t="s">
        <v>36</v>
      </c>
      <c r="G58" t="s">
        <v>37</v>
      </c>
      <c r="H58" t="s">
        <v>35</v>
      </c>
      <c r="I58" t="s">
        <v>20</v>
      </c>
    </row>
    <row r="59" spans="1:9" x14ac:dyDescent="0.3">
      <c r="A59">
        <v>10514</v>
      </c>
      <c r="B59" s="1">
        <v>44884</v>
      </c>
      <c r="C59" t="s">
        <v>17</v>
      </c>
      <c r="D59">
        <v>4.99</v>
      </c>
      <c r="E59">
        <v>200.4</v>
      </c>
      <c r="F59" t="s">
        <v>36</v>
      </c>
      <c r="G59" t="s">
        <v>37</v>
      </c>
      <c r="H59" t="s">
        <v>35</v>
      </c>
      <c r="I59" t="s">
        <v>20</v>
      </c>
    </row>
    <row r="60" spans="1:9" x14ac:dyDescent="0.3">
      <c r="A60">
        <v>10515</v>
      </c>
      <c r="B60" s="1">
        <v>44885</v>
      </c>
      <c r="C60" t="s">
        <v>21</v>
      </c>
      <c r="D60">
        <v>12.99</v>
      </c>
      <c r="E60">
        <v>477.29</v>
      </c>
      <c r="F60" t="s">
        <v>36</v>
      </c>
      <c r="G60" t="s">
        <v>37</v>
      </c>
      <c r="H60" t="s">
        <v>35</v>
      </c>
      <c r="I60" t="s">
        <v>20</v>
      </c>
    </row>
    <row r="61" spans="1:9" x14ac:dyDescent="0.3">
      <c r="A61">
        <v>10516</v>
      </c>
      <c r="B61" s="1">
        <v>44885</v>
      </c>
      <c r="C61" t="s">
        <v>25</v>
      </c>
      <c r="D61">
        <v>9.9499999999999993</v>
      </c>
      <c r="E61">
        <v>201.01</v>
      </c>
      <c r="F61" t="s">
        <v>36</v>
      </c>
      <c r="G61" t="s">
        <v>37</v>
      </c>
      <c r="H61" t="s">
        <v>35</v>
      </c>
      <c r="I61" t="s">
        <v>20</v>
      </c>
    </row>
    <row r="62" spans="1:9" x14ac:dyDescent="0.3">
      <c r="A62">
        <v>10483</v>
      </c>
      <c r="B62" s="1">
        <v>44878</v>
      </c>
      <c r="C62" t="s">
        <v>14</v>
      </c>
      <c r="D62">
        <v>2.95</v>
      </c>
      <c r="E62">
        <v>677.97</v>
      </c>
      <c r="F62" t="s">
        <v>18</v>
      </c>
      <c r="G62" t="s">
        <v>22</v>
      </c>
      <c r="H62" t="s">
        <v>19</v>
      </c>
      <c r="I62" t="s">
        <v>20</v>
      </c>
    </row>
    <row r="63" spans="1:9" x14ac:dyDescent="0.3">
      <c r="A63">
        <v>10484</v>
      </c>
      <c r="B63" s="1">
        <v>44878</v>
      </c>
      <c r="C63" t="s">
        <v>17</v>
      </c>
      <c r="D63">
        <v>4.99</v>
      </c>
      <c r="E63">
        <v>200.4</v>
      </c>
      <c r="F63" t="s">
        <v>18</v>
      </c>
      <c r="G63" t="s">
        <v>22</v>
      </c>
      <c r="H63" t="s">
        <v>19</v>
      </c>
      <c r="I63" t="s">
        <v>20</v>
      </c>
    </row>
    <row r="64" spans="1:9" x14ac:dyDescent="0.3">
      <c r="A64">
        <v>10485</v>
      </c>
      <c r="B64" s="1">
        <v>44879</v>
      </c>
      <c r="C64" t="s">
        <v>21</v>
      </c>
      <c r="D64">
        <v>12.99</v>
      </c>
      <c r="E64">
        <v>523.48</v>
      </c>
      <c r="F64" t="s">
        <v>18</v>
      </c>
      <c r="G64" t="s">
        <v>22</v>
      </c>
      <c r="H64" t="s">
        <v>19</v>
      </c>
      <c r="I64" t="s">
        <v>20</v>
      </c>
    </row>
    <row r="65" spans="1:9" x14ac:dyDescent="0.3">
      <c r="A65">
        <v>10520</v>
      </c>
      <c r="B65" s="1">
        <v>44886</v>
      </c>
      <c r="C65" t="s">
        <v>21</v>
      </c>
      <c r="D65">
        <v>12.99</v>
      </c>
      <c r="E65">
        <v>492.69</v>
      </c>
      <c r="F65" t="s">
        <v>36</v>
      </c>
      <c r="G65" t="s">
        <v>37</v>
      </c>
      <c r="H65" t="s">
        <v>28</v>
      </c>
      <c r="I65" t="s">
        <v>27</v>
      </c>
    </row>
    <row r="66" spans="1:9" x14ac:dyDescent="0.3">
      <c r="A66">
        <v>10521</v>
      </c>
      <c r="B66" s="1">
        <v>44886</v>
      </c>
      <c r="C66" t="s">
        <v>25</v>
      </c>
      <c r="D66">
        <v>9.9499999999999993</v>
      </c>
      <c r="E66">
        <v>201.01</v>
      </c>
      <c r="F66" t="s">
        <v>36</v>
      </c>
      <c r="G66" t="s">
        <v>37</v>
      </c>
      <c r="H66" t="s">
        <v>28</v>
      </c>
      <c r="I66" t="s">
        <v>27</v>
      </c>
    </row>
    <row r="67" spans="1:9" x14ac:dyDescent="0.3">
      <c r="A67">
        <v>10522</v>
      </c>
      <c r="B67" s="1">
        <v>44886</v>
      </c>
      <c r="C67" t="s">
        <v>9</v>
      </c>
      <c r="D67">
        <v>3.49</v>
      </c>
      <c r="E67">
        <v>687.68</v>
      </c>
      <c r="F67" t="s">
        <v>36</v>
      </c>
      <c r="G67" t="s">
        <v>37</v>
      </c>
      <c r="H67" t="s">
        <v>28</v>
      </c>
      <c r="I67" t="s">
        <v>27</v>
      </c>
    </row>
    <row r="68" spans="1:9" x14ac:dyDescent="0.3">
      <c r="A68">
        <v>10523</v>
      </c>
      <c r="B68" s="1">
        <v>44886</v>
      </c>
      <c r="C68" t="s">
        <v>14</v>
      </c>
      <c r="D68">
        <v>2.95</v>
      </c>
      <c r="E68">
        <v>745.76</v>
      </c>
      <c r="F68" t="s">
        <v>36</v>
      </c>
      <c r="G68" t="s">
        <v>37</v>
      </c>
      <c r="H68" t="s">
        <v>28</v>
      </c>
      <c r="I68" t="s">
        <v>27</v>
      </c>
    </row>
    <row r="69" spans="1:9" x14ac:dyDescent="0.3">
      <c r="A69">
        <v>10524</v>
      </c>
      <c r="B69" s="1">
        <v>44886</v>
      </c>
      <c r="C69" t="s">
        <v>17</v>
      </c>
      <c r="D69">
        <v>4.99</v>
      </c>
      <c r="E69">
        <v>200.4</v>
      </c>
      <c r="F69" t="s">
        <v>36</v>
      </c>
      <c r="G69" t="s">
        <v>37</v>
      </c>
      <c r="H69" t="s">
        <v>28</v>
      </c>
      <c r="I69" t="s">
        <v>27</v>
      </c>
    </row>
    <row r="70" spans="1:9" x14ac:dyDescent="0.3">
      <c r="A70">
        <v>10525</v>
      </c>
      <c r="B70" s="1">
        <v>44887</v>
      </c>
      <c r="C70" t="s">
        <v>21</v>
      </c>
      <c r="D70">
        <v>12.99</v>
      </c>
      <c r="E70">
        <v>461.89</v>
      </c>
      <c r="F70" t="s">
        <v>36</v>
      </c>
      <c r="G70" t="s">
        <v>37</v>
      </c>
      <c r="H70" t="s">
        <v>28</v>
      </c>
      <c r="I70" t="s">
        <v>27</v>
      </c>
    </row>
    <row r="71" spans="1:9" x14ac:dyDescent="0.3">
      <c r="A71">
        <v>10526</v>
      </c>
      <c r="B71" s="1">
        <v>44887</v>
      </c>
      <c r="C71" t="s">
        <v>25</v>
      </c>
      <c r="D71">
        <v>9.9499999999999993</v>
      </c>
      <c r="E71">
        <v>201.01</v>
      </c>
      <c r="F71" t="s">
        <v>36</v>
      </c>
      <c r="G71" t="s">
        <v>37</v>
      </c>
      <c r="H71" t="s">
        <v>28</v>
      </c>
      <c r="I71" t="s">
        <v>27</v>
      </c>
    </row>
    <row r="72" spans="1:9" x14ac:dyDescent="0.3">
      <c r="A72">
        <v>10527</v>
      </c>
      <c r="B72" s="1">
        <v>44887</v>
      </c>
      <c r="C72" t="s">
        <v>9</v>
      </c>
      <c r="D72">
        <v>3.49</v>
      </c>
      <c r="E72">
        <v>687.68</v>
      </c>
      <c r="F72" t="s">
        <v>36</v>
      </c>
      <c r="G72" t="s">
        <v>37</v>
      </c>
      <c r="H72" t="s">
        <v>28</v>
      </c>
      <c r="I72" t="s">
        <v>27</v>
      </c>
    </row>
    <row r="73" spans="1:9" x14ac:dyDescent="0.3">
      <c r="A73">
        <v>10528</v>
      </c>
      <c r="B73" s="1">
        <v>44887</v>
      </c>
      <c r="C73" t="s">
        <v>14</v>
      </c>
      <c r="D73">
        <v>2.95</v>
      </c>
      <c r="E73">
        <v>745.76</v>
      </c>
      <c r="F73" t="s">
        <v>36</v>
      </c>
      <c r="G73" t="s">
        <v>37</v>
      </c>
      <c r="H73" t="s">
        <v>28</v>
      </c>
      <c r="I73" t="s">
        <v>27</v>
      </c>
    </row>
    <row r="74" spans="1:9" x14ac:dyDescent="0.3">
      <c r="A74">
        <v>10529</v>
      </c>
      <c r="B74" s="1">
        <v>44887</v>
      </c>
      <c r="C74" t="s">
        <v>17</v>
      </c>
      <c r="D74">
        <v>4.99</v>
      </c>
      <c r="E74">
        <v>200.4</v>
      </c>
      <c r="F74" t="s">
        <v>36</v>
      </c>
      <c r="G74" t="s">
        <v>37</v>
      </c>
      <c r="H74" t="s">
        <v>28</v>
      </c>
      <c r="I74" t="s">
        <v>27</v>
      </c>
    </row>
    <row r="75" spans="1:9" x14ac:dyDescent="0.3">
      <c r="A75">
        <v>10530</v>
      </c>
      <c r="B75" s="1">
        <v>44888</v>
      </c>
      <c r="C75" t="s">
        <v>21</v>
      </c>
      <c r="D75">
        <v>12.99</v>
      </c>
      <c r="E75">
        <v>477.29</v>
      </c>
      <c r="F75" t="s">
        <v>36</v>
      </c>
      <c r="G75" t="s">
        <v>37</v>
      </c>
      <c r="H75" t="s">
        <v>28</v>
      </c>
      <c r="I75" t="s">
        <v>27</v>
      </c>
    </row>
    <row r="76" spans="1:9" x14ac:dyDescent="0.3">
      <c r="A76">
        <v>10531</v>
      </c>
      <c r="B76" s="1">
        <v>44888</v>
      </c>
      <c r="C76" t="s">
        <v>25</v>
      </c>
      <c r="D76">
        <v>9.9499999999999993</v>
      </c>
      <c r="E76">
        <v>201.01</v>
      </c>
      <c r="F76" t="s">
        <v>36</v>
      </c>
      <c r="G76" t="s">
        <v>37</v>
      </c>
      <c r="H76" t="s">
        <v>28</v>
      </c>
      <c r="I76" t="s">
        <v>27</v>
      </c>
    </row>
    <row r="77" spans="1:9" x14ac:dyDescent="0.3">
      <c r="A77">
        <v>10532</v>
      </c>
      <c r="B77" s="1">
        <v>44888</v>
      </c>
      <c r="C77" t="s">
        <v>9</v>
      </c>
      <c r="D77">
        <v>3.49</v>
      </c>
      <c r="E77">
        <v>687.68</v>
      </c>
      <c r="F77" t="s">
        <v>36</v>
      </c>
      <c r="G77" t="s">
        <v>37</v>
      </c>
      <c r="H77" t="s">
        <v>35</v>
      </c>
      <c r="I77" t="s">
        <v>20</v>
      </c>
    </row>
    <row r="78" spans="1:9" x14ac:dyDescent="0.3">
      <c r="A78">
        <v>10533</v>
      </c>
      <c r="B78" s="1">
        <v>44888</v>
      </c>
      <c r="C78" t="s">
        <v>14</v>
      </c>
      <c r="D78">
        <v>2.95</v>
      </c>
      <c r="E78">
        <v>745.76</v>
      </c>
      <c r="F78" t="s">
        <v>36</v>
      </c>
      <c r="G78" t="s">
        <v>37</v>
      </c>
      <c r="H78" t="s">
        <v>35</v>
      </c>
      <c r="I78" t="s">
        <v>20</v>
      </c>
    </row>
    <row r="79" spans="1:9" x14ac:dyDescent="0.3">
      <c r="A79">
        <v>10534</v>
      </c>
      <c r="B79" s="1">
        <v>44888</v>
      </c>
      <c r="C79" t="s">
        <v>17</v>
      </c>
      <c r="D79">
        <v>4.99</v>
      </c>
      <c r="E79">
        <v>200.4</v>
      </c>
      <c r="F79" t="s">
        <v>36</v>
      </c>
      <c r="G79" t="s">
        <v>37</v>
      </c>
      <c r="H79" t="s">
        <v>31</v>
      </c>
      <c r="I79" t="s">
        <v>16</v>
      </c>
    </row>
    <row r="80" spans="1:9" x14ac:dyDescent="0.3">
      <c r="A80">
        <v>10535</v>
      </c>
      <c r="B80" s="1">
        <v>44889</v>
      </c>
      <c r="C80" t="s">
        <v>21</v>
      </c>
      <c r="D80">
        <v>12.99</v>
      </c>
      <c r="E80">
        <v>477.29</v>
      </c>
      <c r="F80" t="s">
        <v>36</v>
      </c>
      <c r="G80" t="s">
        <v>22</v>
      </c>
      <c r="H80" t="s">
        <v>31</v>
      </c>
      <c r="I80" t="s">
        <v>16</v>
      </c>
    </row>
    <row r="81" spans="1:9" x14ac:dyDescent="0.3">
      <c r="A81">
        <v>10536</v>
      </c>
      <c r="B81" s="1">
        <v>44889</v>
      </c>
      <c r="C81" t="s">
        <v>25</v>
      </c>
      <c r="D81">
        <v>9.9499999999999993</v>
      </c>
      <c r="E81">
        <v>201.01</v>
      </c>
      <c r="F81" t="s">
        <v>36</v>
      </c>
      <c r="G81" t="s">
        <v>22</v>
      </c>
      <c r="H81" t="s">
        <v>31</v>
      </c>
      <c r="I81" t="s">
        <v>16</v>
      </c>
    </row>
    <row r="82" spans="1:9" x14ac:dyDescent="0.3">
      <c r="A82">
        <v>10540</v>
      </c>
      <c r="B82" s="1">
        <v>44890</v>
      </c>
      <c r="C82" t="s">
        <v>21</v>
      </c>
      <c r="D82">
        <v>12.99</v>
      </c>
      <c r="E82">
        <v>461.89</v>
      </c>
      <c r="F82" t="s">
        <v>36</v>
      </c>
      <c r="G82" t="s">
        <v>22</v>
      </c>
      <c r="H82" t="s">
        <v>31</v>
      </c>
      <c r="I82" t="s">
        <v>16</v>
      </c>
    </row>
    <row r="83" spans="1:9" x14ac:dyDescent="0.3">
      <c r="A83">
        <v>10541</v>
      </c>
      <c r="B83" s="1">
        <v>44890</v>
      </c>
      <c r="C83" t="s">
        <v>25</v>
      </c>
      <c r="D83">
        <v>9.9499999999999993</v>
      </c>
      <c r="E83">
        <v>201.01</v>
      </c>
      <c r="F83" t="s">
        <v>36</v>
      </c>
      <c r="G83" t="s">
        <v>22</v>
      </c>
      <c r="H83" t="s">
        <v>38</v>
      </c>
      <c r="I83" t="s">
        <v>13</v>
      </c>
    </row>
    <row r="84" spans="1:9" x14ac:dyDescent="0.3">
      <c r="A84">
        <v>10542</v>
      </c>
      <c r="B84" s="1">
        <v>44890</v>
      </c>
      <c r="C84" t="s">
        <v>9</v>
      </c>
      <c r="D84">
        <v>3.49</v>
      </c>
      <c r="E84">
        <v>630.37</v>
      </c>
      <c r="F84" t="s">
        <v>36</v>
      </c>
      <c r="G84" t="s">
        <v>22</v>
      </c>
      <c r="H84" t="s">
        <v>38</v>
      </c>
      <c r="I84" t="s">
        <v>13</v>
      </c>
    </row>
    <row r="85" spans="1:9" x14ac:dyDescent="0.3">
      <c r="A85">
        <v>10543</v>
      </c>
      <c r="B85" s="1">
        <v>44890</v>
      </c>
      <c r="C85" t="s">
        <v>14</v>
      </c>
      <c r="D85">
        <v>2.95</v>
      </c>
      <c r="E85">
        <v>745.76</v>
      </c>
      <c r="F85" t="s">
        <v>36</v>
      </c>
      <c r="G85" t="s">
        <v>22</v>
      </c>
      <c r="H85" t="s">
        <v>38</v>
      </c>
      <c r="I85" t="s">
        <v>13</v>
      </c>
    </row>
    <row r="86" spans="1:9" x14ac:dyDescent="0.3">
      <c r="A86">
        <v>10544</v>
      </c>
      <c r="B86" s="1">
        <v>44890</v>
      </c>
      <c r="C86" t="s">
        <v>17</v>
      </c>
      <c r="D86">
        <v>4.99</v>
      </c>
      <c r="E86">
        <v>200.4</v>
      </c>
      <c r="F86" t="s">
        <v>36</v>
      </c>
      <c r="G86" t="s">
        <v>22</v>
      </c>
      <c r="H86" t="s">
        <v>38</v>
      </c>
      <c r="I86" t="s">
        <v>13</v>
      </c>
    </row>
    <row r="87" spans="1:9" x14ac:dyDescent="0.3">
      <c r="A87">
        <v>10545</v>
      </c>
      <c r="B87" s="1">
        <v>44891</v>
      </c>
      <c r="C87" t="s">
        <v>21</v>
      </c>
      <c r="D87">
        <v>12.99</v>
      </c>
      <c r="E87">
        <v>446.5</v>
      </c>
      <c r="F87" t="s">
        <v>36</v>
      </c>
      <c r="G87" t="s">
        <v>22</v>
      </c>
      <c r="H87" t="s">
        <v>38</v>
      </c>
      <c r="I87" t="s">
        <v>13</v>
      </c>
    </row>
    <row r="88" spans="1:9" x14ac:dyDescent="0.3">
      <c r="A88">
        <v>10546</v>
      </c>
      <c r="B88" s="1">
        <v>44891</v>
      </c>
      <c r="C88" t="s">
        <v>25</v>
      </c>
      <c r="D88">
        <v>9.9499999999999993</v>
      </c>
      <c r="E88">
        <v>201.01</v>
      </c>
      <c r="F88" t="s">
        <v>36</v>
      </c>
      <c r="G88" t="s">
        <v>22</v>
      </c>
      <c r="H88" t="s">
        <v>38</v>
      </c>
      <c r="I88" t="s">
        <v>13</v>
      </c>
    </row>
    <row r="89" spans="1:9" x14ac:dyDescent="0.3">
      <c r="A89">
        <v>10547</v>
      </c>
      <c r="B89" s="1">
        <v>44891</v>
      </c>
      <c r="C89" t="s">
        <v>9</v>
      </c>
      <c r="D89">
        <v>3.49</v>
      </c>
      <c r="E89">
        <v>630.37</v>
      </c>
      <c r="F89" t="s">
        <v>36</v>
      </c>
      <c r="G89" t="s">
        <v>22</v>
      </c>
      <c r="H89" t="s">
        <v>38</v>
      </c>
      <c r="I89" t="s">
        <v>13</v>
      </c>
    </row>
    <row r="90" spans="1:9" x14ac:dyDescent="0.3">
      <c r="A90">
        <v>10548</v>
      </c>
      <c r="B90" s="1">
        <v>44891</v>
      </c>
      <c r="C90" t="s">
        <v>14</v>
      </c>
      <c r="D90">
        <v>2.95</v>
      </c>
      <c r="E90">
        <v>745.76</v>
      </c>
      <c r="F90" t="s">
        <v>36</v>
      </c>
      <c r="G90" t="s">
        <v>22</v>
      </c>
      <c r="H90" t="s">
        <v>38</v>
      </c>
      <c r="I90" t="s">
        <v>13</v>
      </c>
    </row>
    <row r="91" spans="1:9" x14ac:dyDescent="0.3">
      <c r="A91">
        <v>10549</v>
      </c>
      <c r="B91" s="1">
        <v>44891</v>
      </c>
      <c r="C91" t="s">
        <v>17</v>
      </c>
      <c r="D91">
        <v>4.99</v>
      </c>
      <c r="E91">
        <v>200.4</v>
      </c>
      <c r="F91" t="s">
        <v>36</v>
      </c>
      <c r="G91" t="s">
        <v>22</v>
      </c>
      <c r="H91" t="s">
        <v>38</v>
      </c>
      <c r="I91" t="s">
        <v>13</v>
      </c>
    </row>
    <row r="92" spans="1:9" x14ac:dyDescent="0.3">
      <c r="A92">
        <v>10550</v>
      </c>
      <c r="B92" s="1">
        <v>44892</v>
      </c>
      <c r="C92" t="s">
        <v>21</v>
      </c>
      <c r="D92">
        <v>12.99</v>
      </c>
      <c r="E92">
        <v>461.89</v>
      </c>
      <c r="F92" t="s">
        <v>36</v>
      </c>
      <c r="G92" t="s">
        <v>22</v>
      </c>
      <c r="H92" t="s">
        <v>38</v>
      </c>
      <c r="I92" t="s">
        <v>13</v>
      </c>
    </row>
    <row r="93" spans="1:9" x14ac:dyDescent="0.3">
      <c r="A93">
        <v>10551</v>
      </c>
      <c r="B93" s="1">
        <v>44892</v>
      </c>
      <c r="C93" t="s">
        <v>25</v>
      </c>
      <c r="D93">
        <v>9.9499999999999993</v>
      </c>
      <c r="E93">
        <v>201.01</v>
      </c>
      <c r="F93" t="s">
        <v>36</v>
      </c>
      <c r="G93" t="s">
        <v>22</v>
      </c>
      <c r="H93" t="s">
        <v>38</v>
      </c>
      <c r="I93" t="s">
        <v>13</v>
      </c>
    </row>
    <row r="94" spans="1:9" x14ac:dyDescent="0.3">
      <c r="A94">
        <v>10552</v>
      </c>
      <c r="B94" s="1">
        <v>44892</v>
      </c>
      <c r="C94" t="s">
        <v>9</v>
      </c>
      <c r="D94">
        <v>3.49</v>
      </c>
      <c r="E94">
        <v>630.37</v>
      </c>
      <c r="F94" t="s">
        <v>10</v>
      </c>
      <c r="G94" t="s">
        <v>22</v>
      </c>
      <c r="H94" t="s">
        <v>38</v>
      </c>
      <c r="I94" t="s">
        <v>13</v>
      </c>
    </row>
    <row r="95" spans="1:9" x14ac:dyDescent="0.3">
      <c r="A95">
        <v>10553</v>
      </c>
      <c r="B95" s="1">
        <v>44892</v>
      </c>
      <c r="C95" t="s">
        <v>14</v>
      </c>
      <c r="D95">
        <v>2.95</v>
      </c>
      <c r="E95">
        <v>745.76</v>
      </c>
      <c r="F95" t="s">
        <v>10</v>
      </c>
      <c r="G95" t="s">
        <v>22</v>
      </c>
      <c r="H95" t="s">
        <v>38</v>
      </c>
      <c r="I95" t="s">
        <v>13</v>
      </c>
    </row>
    <row r="96" spans="1:9" x14ac:dyDescent="0.3">
      <c r="A96">
        <v>10554</v>
      </c>
      <c r="B96" s="1">
        <v>44892</v>
      </c>
      <c r="C96" t="s">
        <v>17</v>
      </c>
      <c r="D96">
        <v>4.99</v>
      </c>
      <c r="E96">
        <v>200.4</v>
      </c>
      <c r="F96" t="s">
        <v>10</v>
      </c>
      <c r="G96" t="s">
        <v>22</v>
      </c>
      <c r="H96" t="s">
        <v>38</v>
      </c>
      <c r="I96" t="s">
        <v>13</v>
      </c>
    </row>
    <row r="97" spans="1:9" x14ac:dyDescent="0.3">
      <c r="A97">
        <v>10555</v>
      </c>
      <c r="B97" s="1">
        <v>44893</v>
      </c>
      <c r="C97" t="s">
        <v>21</v>
      </c>
      <c r="D97">
        <v>12.99</v>
      </c>
      <c r="E97">
        <v>477.29</v>
      </c>
      <c r="F97" t="s">
        <v>10</v>
      </c>
      <c r="G97" t="s">
        <v>22</v>
      </c>
      <c r="H97" t="s">
        <v>38</v>
      </c>
      <c r="I97" t="s">
        <v>13</v>
      </c>
    </row>
    <row r="98" spans="1:9" x14ac:dyDescent="0.3">
      <c r="A98">
        <v>10556</v>
      </c>
      <c r="B98" s="1">
        <v>44893</v>
      </c>
      <c r="C98" t="s">
        <v>25</v>
      </c>
      <c r="D98">
        <v>9.9499999999999993</v>
      </c>
      <c r="E98">
        <v>201.01</v>
      </c>
      <c r="F98" t="s">
        <v>10</v>
      </c>
      <c r="G98" t="s">
        <v>22</v>
      </c>
      <c r="H98" t="s">
        <v>38</v>
      </c>
      <c r="I98" t="s">
        <v>13</v>
      </c>
    </row>
    <row r="99" spans="1:9" x14ac:dyDescent="0.3">
      <c r="A99">
        <v>10557</v>
      </c>
      <c r="B99" s="1">
        <v>44893</v>
      </c>
      <c r="C99" t="s">
        <v>9</v>
      </c>
      <c r="D99">
        <v>3.49</v>
      </c>
      <c r="E99">
        <v>630.37</v>
      </c>
      <c r="F99" t="s">
        <v>10</v>
      </c>
      <c r="G99" t="s">
        <v>22</v>
      </c>
      <c r="H99" t="s">
        <v>38</v>
      </c>
      <c r="I99" t="s">
        <v>13</v>
      </c>
    </row>
    <row r="100" spans="1:9" x14ac:dyDescent="0.3">
      <c r="A100">
        <v>10558</v>
      </c>
      <c r="B100" s="1">
        <v>44893</v>
      </c>
      <c r="C100" t="s">
        <v>14</v>
      </c>
      <c r="D100">
        <v>2.95</v>
      </c>
      <c r="E100">
        <v>677.97</v>
      </c>
      <c r="F100" t="s">
        <v>10</v>
      </c>
      <c r="G100" t="s">
        <v>22</v>
      </c>
      <c r="H100" t="s">
        <v>38</v>
      </c>
      <c r="I100" t="s">
        <v>13</v>
      </c>
    </row>
    <row r="101" spans="1:9" x14ac:dyDescent="0.3">
      <c r="A101">
        <v>10559</v>
      </c>
      <c r="B101" s="1">
        <v>44893</v>
      </c>
      <c r="C101" t="s">
        <v>17</v>
      </c>
      <c r="D101">
        <v>4.99</v>
      </c>
      <c r="E101">
        <v>200.4</v>
      </c>
      <c r="F101" t="s">
        <v>10</v>
      </c>
      <c r="G101" t="s">
        <v>22</v>
      </c>
      <c r="H101" t="s">
        <v>38</v>
      </c>
      <c r="I101" t="s">
        <v>13</v>
      </c>
    </row>
    <row r="102" spans="1:9" x14ac:dyDescent="0.3">
      <c r="A102">
        <v>10560</v>
      </c>
      <c r="B102" s="1">
        <v>44894</v>
      </c>
      <c r="C102" t="s">
        <v>21</v>
      </c>
      <c r="D102">
        <v>12.99</v>
      </c>
      <c r="E102">
        <v>477.29</v>
      </c>
      <c r="F102" t="s">
        <v>10</v>
      </c>
      <c r="G102" t="s">
        <v>22</v>
      </c>
      <c r="H102" t="s">
        <v>38</v>
      </c>
      <c r="I102" t="s">
        <v>13</v>
      </c>
    </row>
    <row r="103" spans="1:9" x14ac:dyDescent="0.3">
      <c r="A103">
        <v>10561</v>
      </c>
      <c r="B103" s="1">
        <v>44894</v>
      </c>
      <c r="C103" t="s">
        <v>25</v>
      </c>
      <c r="D103">
        <v>9.9499999999999993</v>
      </c>
      <c r="E103">
        <v>201.01</v>
      </c>
      <c r="F103" t="s">
        <v>10</v>
      </c>
      <c r="G103" t="s">
        <v>22</v>
      </c>
      <c r="H103" t="s">
        <v>38</v>
      </c>
      <c r="I103" t="s">
        <v>13</v>
      </c>
    </row>
    <row r="104" spans="1:9" x14ac:dyDescent="0.3">
      <c r="A104">
        <v>10562</v>
      </c>
      <c r="B104" s="1">
        <v>44894</v>
      </c>
      <c r="C104" t="s">
        <v>9</v>
      </c>
      <c r="D104">
        <v>3.49</v>
      </c>
      <c r="E104">
        <v>630.37</v>
      </c>
      <c r="F104" t="s">
        <v>10</v>
      </c>
      <c r="G104" t="s">
        <v>22</v>
      </c>
      <c r="H104" t="s">
        <v>38</v>
      </c>
      <c r="I104" t="s">
        <v>13</v>
      </c>
    </row>
    <row r="105" spans="1:9" x14ac:dyDescent="0.3">
      <c r="A105">
        <v>10563</v>
      </c>
      <c r="B105" s="1">
        <v>44894</v>
      </c>
      <c r="C105" t="s">
        <v>14</v>
      </c>
      <c r="D105">
        <v>2.95</v>
      </c>
      <c r="E105">
        <v>677.97</v>
      </c>
      <c r="F105" t="s">
        <v>10</v>
      </c>
      <c r="G105" t="s">
        <v>22</v>
      </c>
      <c r="H105" t="s">
        <v>38</v>
      </c>
      <c r="I105" t="s">
        <v>13</v>
      </c>
    </row>
    <row r="106" spans="1:9" x14ac:dyDescent="0.3">
      <c r="A106">
        <v>10564</v>
      </c>
      <c r="B106" s="1">
        <v>44894</v>
      </c>
      <c r="C106" t="s">
        <v>17</v>
      </c>
      <c r="D106">
        <v>4.99</v>
      </c>
      <c r="E106">
        <v>200.4</v>
      </c>
      <c r="F106" t="s">
        <v>10</v>
      </c>
      <c r="G106" t="s">
        <v>22</v>
      </c>
      <c r="H106" t="s">
        <v>38</v>
      </c>
      <c r="I106" t="s">
        <v>13</v>
      </c>
    </row>
    <row r="107" spans="1:9" x14ac:dyDescent="0.3">
      <c r="A107">
        <v>10565</v>
      </c>
      <c r="B107" s="1">
        <v>44895</v>
      </c>
      <c r="C107" t="s">
        <v>21</v>
      </c>
      <c r="D107">
        <v>12.99</v>
      </c>
      <c r="E107">
        <v>492.69</v>
      </c>
      <c r="F107" t="s">
        <v>10</v>
      </c>
      <c r="G107" t="s">
        <v>22</v>
      </c>
      <c r="H107" t="s">
        <v>38</v>
      </c>
      <c r="I107" t="s">
        <v>13</v>
      </c>
    </row>
    <row r="108" spans="1:9" x14ac:dyDescent="0.3">
      <c r="A108">
        <v>10566</v>
      </c>
      <c r="B108" s="1">
        <v>44895</v>
      </c>
      <c r="C108" t="s">
        <v>25</v>
      </c>
      <c r="D108">
        <v>9.9499999999999993</v>
      </c>
      <c r="E108">
        <v>201.01</v>
      </c>
      <c r="F108" t="s">
        <v>10</v>
      </c>
      <c r="G108" t="s">
        <v>22</v>
      </c>
      <c r="H108" t="s">
        <v>38</v>
      </c>
      <c r="I108" t="s">
        <v>13</v>
      </c>
    </row>
    <row r="109" spans="1:9" x14ac:dyDescent="0.3">
      <c r="A109">
        <v>10567</v>
      </c>
      <c r="B109" s="1">
        <v>44895</v>
      </c>
      <c r="C109" t="s">
        <v>9</v>
      </c>
      <c r="D109">
        <v>3.49</v>
      </c>
      <c r="E109">
        <v>630.37</v>
      </c>
      <c r="F109" t="s">
        <v>10</v>
      </c>
      <c r="G109" t="s">
        <v>22</v>
      </c>
      <c r="H109" t="s">
        <v>38</v>
      </c>
      <c r="I109" t="s">
        <v>13</v>
      </c>
    </row>
    <row r="110" spans="1:9" x14ac:dyDescent="0.3">
      <c r="A110">
        <v>10568</v>
      </c>
      <c r="B110" s="1">
        <v>44895</v>
      </c>
      <c r="C110" t="s">
        <v>14</v>
      </c>
      <c r="D110">
        <v>2.95</v>
      </c>
      <c r="E110">
        <v>677.97</v>
      </c>
      <c r="F110" t="s">
        <v>10</v>
      </c>
      <c r="G110" t="s">
        <v>22</v>
      </c>
      <c r="H110" t="s">
        <v>38</v>
      </c>
      <c r="I110" t="s">
        <v>13</v>
      </c>
    </row>
    <row r="111" spans="1:9" x14ac:dyDescent="0.3">
      <c r="A111">
        <v>10569</v>
      </c>
      <c r="B111" s="1">
        <v>44895</v>
      </c>
      <c r="C111" t="s">
        <v>17</v>
      </c>
      <c r="D111">
        <v>4.99</v>
      </c>
      <c r="E111">
        <v>200.4</v>
      </c>
      <c r="F111" t="s">
        <v>10</v>
      </c>
      <c r="G111" t="s">
        <v>22</v>
      </c>
      <c r="H111" t="s">
        <v>38</v>
      </c>
      <c r="I111" t="s">
        <v>13</v>
      </c>
    </row>
    <row r="112" spans="1:9" x14ac:dyDescent="0.3">
      <c r="A112">
        <v>10570</v>
      </c>
      <c r="B112" s="1">
        <v>44896</v>
      </c>
      <c r="C112" t="s">
        <v>21</v>
      </c>
      <c r="D112">
        <v>12.99</v>
      </c>
      <c r="E112">
        <v>492.69</v>
      </c>
      <c r="F112" t="s">
        <v>10</v>
      </c>
      <c r="G112" t="s">
        <v>22</v>
      </c>
      <c r="H112" t="s">
        <v>38</v>
      </c>
      <c r="I112" t="s">
        <v>13</v>
      </c>
    </row>
    <row r="113" spans="1:9" x14ac:dyDescent="0.3">
      <c r="A113">
        <v>10571</v>
      </c>
      <c r="B113" s="1">
        <v>44896</v>
      </c>
      <c r="C113" t="s">
        <v>25</v>
      </c>
      <c r="D113">
        <v>9.9499999999999993</v>
      </c>
      <c r="E113">
        <v>201.01</v>
      </c>
      <c r="F113" t="s">
        <v>10</v>
      </c>
      <c r="G113" t="s">
        <v>22</v>
      </c>
      <c r="H113" t="s">
        <v>38</v>
      </c>
      <c r="I113" t="s">
        <v>13</v>
      </c>
    </row>
    <row r="114" spans="1:9" x14ac:dyDescent="0.3">
      <c r="A114">
        <v>10572</v>
      </c>
      <c r="B114" s="1">
        <v>44896</v>
      </c>
      <c r="C114" t="s">
        <v>9</v>
      </c>
      <c r="D114">
        <v>3.49</v>
      </c>
      <c r="E114">
        <v>573.07000000000005</v>
      </c>
      <c r="F114" t="s">
        <v>10</v>
      </c>
      <c r="G114" t="s">
        <v>22</v>
      </c>
      <c r="H114" t="s">
        <v>28</v>
      </c>
      <c r="I114" t="s">
        <v>27</v>
      </c>
    </row>
    <row r="115" spans="1:9" x14ac:dyDescent="0.3">
      <c r="A115">
        <v>10573</v>
      </c>
      <c r="B115" s="1">
        <v>44896</v>
      </c>
      <c r="C115" t="s">
        <v>14</v>
      </c>
      <c r="D115">
        <v>2.95</v>
      </c>
      <c r="E115">
        <v>677.97</v>
      </c>
      <c r="F115" t="s">
        <v>10</v>
      </c>
      <c r="G115" t="s">
        <v>22</v>
      </c>
      <c r="H115" t="s">
        <v>28</v>
      </c>
      <c r="I115" t="s">
        <v>27</v>
      </c>
    </row>
    <row r="116" spans="1:9" x14ac:dyDescent="0.3">
      <c r="A116">
        <v>10574</v>
      </c>
      <c r="B116" s="1">
        <v>44896</v>
      </c>
      <c r="C116" t="s">
        <v>17</v>
      </c>
      <c r="D116">
        <v>4.99</v>
      </c>
      <c r="E116">
        <v>200.4</v>
      </c>
      <c r="F116" t="s">
        <v>10</v>
      </c>
      <c r="G116" t="s">
        <v>22</v>
      </c>
      <c r="H116" t="s">
        <v>28</v>
      </c>
      <c r="I116" t="s">
        <v>27</v>
      </c>
    </row>
    <row r="117" spans="1:9" x14ac:dyDescent="0.3">
      <c r="A117">
        <v>10575</v>
      </c>
      <c r="B117" s="1">
        <v>44897</v>
      </c>
      <c r="C117" t="s">
        <v>21</v>
      </c>
      <c r="D117">
        <v>12.99</v>
      </c>
      <c r="E117">
        <v>523.48</v>
      </c>
      <c r="F117" t="s">
        <v>10</v>
      </c>
      <c r="G117" t="s">
        <v>22</v>
      </c>
      <c r="H117" t="s">
        <v>28</v>
      </c>
      <c r="I117" t="s">
        <v>27</v>
      </c>
    </row>
    <row r="118" spans="1:9" x14ac:dyDescent="0.3">
      <c r="A118">
        <v>10576</v>
      </c>
      <c r="B118" s="1">
        <v>44897</v>
      </c>
      <c r="C118" t="s">
        <v>25</v>
      </c>
      <c r="D118">
        <v>9.9499999999999993</v>
      </c>
      <c r="E118">
        <v>201.01</v>
      </c>
      <c r="F118" t="s">
        <v>10</v>
      </c>
      <c r="G118" t="s">
        <v>22</v>
      </c>
      <c r="H118" t="s">
        <v>28</v>
      </c>
      <c r="I118" t="s">
        <v>27</v>
      </c>
    </row>
    <row r="119" spans="1:9" x14ac:dyDescent="0.3">
      <c r="A119">
        <v>10577</v>
      </c>
      <c r="B119" s="1">
        <v>44897</v>
      </c>
      <c r="C119" t="s">
        <v>9</v>
      </c>
      <c r="D119">
        <v>3.49</v>
      </c>
      <c r="E119">
        <v>630.37</v>
      </c>
      <c r="F119" t="s">
        <v>10</v>
      </c>
      <c r="G119" t="s">
        <v>22</v>
      </c>
      <c r="H119" t="s">
        <v>28</v>
      </c>
      <c r="I119" t="s">
        <v>27</v>
      </c>
    </row>
    <row r="120" spans="1:9" x14ac:dyDescent="0.3">
      <c r="A120">
        <v>10578</v>
      </c>
      <c r="B120" s="1">
        <v>44897</v>
      </c>
      <c r="C120" t="s">
        <v>14</v>
      </c>
      <c r="D120">
        <v>2.95</v>
      </c>
      <c r="E120">
        <v>677.97</v>
      </c>
      <c r="F120" t="s">
        <v>10</v>
      </c>
      <c r="G120" t="s">
        <v>22</v>
      </c>
      <c r="H120" t="s">
        <v>28</v>
      </c>
      <c r="I120" t="s">
        <v>27</v>
      </c>
    </row>
    <row r="121" spans="1:9" x14ac:dyDescent="0.3">
      <c r="A121">
        <v>10579</v>
      </c>
      <c r="B121" s="1">
        <v>44897</v>
      </c>
      <c r="C121" t="s">
        <v>17</v>
      </c>
      <c r="D121">
        <v>4.99</v>
      </c>
      <c r="E121">
        <v>200.4</v>
      </c>
      <c r="F121" t="s">
        <v>10</v>
      </c>
      <c r="G121" t="s">
        <v>22</v>
      </c>
      <c r="H121" t="s">
        <v>28</v>
      </c>
      <c r="I121" t="s">
        <v>27</v>
      </c>
    </row>
    <row r="122" spans="1:9" x14ac:dyDescent="0.3">
      <c r="A122">
        <v>10580</v>
      </c>
      <c r="B122" s="1">
        <v>44898</v>
      </c>
      <c r="C122" t="s">
        <v>21</v>
      </c>
      <c r="D122">
        <v>12.99</v>
      </c>
      <c r="E122">
        <v>523.48</v>
      </c>
      <c r="F122" t="s">
        <v>10</v>
      </c>
      <c r="G122" t="s">
        <v>22</v>
      </c>
      <c r="H122" t="s">
        <v>28</v>
      </c>
      <c r="I122" t="s">
        <v>27</v>
      </c>
    </row>
    <row r="123" spans="1:9" x14ac:dyDescent="0.3">
      <c r="A123">
        <v>10581</v>
      </c>
      <c r="B123" s="1">
        <v>44898</v>
      </c>
      <c r="C123" t="s">
        <v>25</v>
      </c>
      <c r="D123">
        <v>9.9499999999999993</v>
      </c>
      <c r="E123">
        <v>201.01</v>
      </c>
      <c r="F123" t="s">
        <v>10</v>
      </c>
      <c r="G123" t="s">
        <v>22</v>
      </c>
      <c r="H123" t="s">
        <v>28</v>
      </c>
      <c r="I123" t="s">
        <v>27</v>
      </c>
    </row>
    <row r="124" spans="1:9" x14ac:dyDescent="0.3">
      <c r="A124">
        <v>10582</v>
      </c>
      <c r="B124" s="1">
        <v>44898</v>
      </c>
      <c r="C124" t="s">
        <v>9</v>
      </c>
      <c r="D124">
        <v>3.49</v>
      </c>
      <c r="E124">
        <v>630.37</v>
      </c>
      <c r="F124" t="s">
        <v>10</v>
      </c>
      <c r="G124" t="s">
        <v>22</v>
      </c>
      <c r="H124" t="s">
        <v>38</v>
      </c>
      <c r="I124" t="s">
        <v>13</v>
      </c>
    </row>
    <row r="125" spans="1:9" x14ac:dyDescent="0.3">
      <c r="A125">
        <v>10583</v>
      </c>
      <c r="B125" s="1">
        <v>44898</v>
      </c>
      <c r="C125" t="s">
        <v>14</v>
      </c>
      <c r="D125">
        <v>2.95</v>
      </c>
      <c r="E125">
        <v>677.97</v>
      </c>
      <c r="F125" t="s">
        <v>10</v>
      </c>
      <c r="G125" t="s">
        <v>22</v>
      </c>
      <c r="H125" t="s">
        <v>38</v>
      </c>
      <c r="I125" t="s">
        <v>13</v>
      </c>
    </row>
    <row r="126" spans="1:9" x14ac:dyDescent="0.3">
      <c r="A126">
        <v>10584</v>
      </c>
      <c r="B126" s="1">
        <v>44898</v>
      </c>
      <c r="C126" t="s">
        <v>17</v>
      </c>
      <c r="D126">
        <v>4.99</v>
      </c>
      <c r="E126">
        <v>200.4</v>
      </c>
      <c r="F126" t="s">
        <v>10</v>
      </c>
      <c r="G126" t="s">
        <v>22</v>
      </c>
      <c r="H126" t="s">
        <v>38</v>
      </c>
      <c r="I126" t="s">
        <v>13</v>
      </c>
    </row>
    <row r="127" spans="1:9" x14ac:dyDescent="0.3">
      <c r="A127">
        <v>10585</v>
      </c>
      <c r="B127" s="1">
        <v>44899</v>
      </c>
      <c r="C127" t="s">
        <v>21</v>
      </c>
      <c r="D127">
        <v>12.99</v>
      </c>
      <c r="E127">
        <v>538.88</v>
      </c>
      <c r="F127" t="s">
        <v>10</v>
      </c>
      <c r="G127" t="s">
        <v>22</v>
      </c>
      <c r="H127" t="s">
        <v>38</v>
      </c>
      <c r="I127" t="s">
        <v>13</v>
      </c>
    </row>
    <row r="128" spans="1:9" x14ac:dyDescent="0.3">
      <c r="A128">
        <v>10586</v>
      </c>
      <c r="B128" s="1">
        <v>44899</v>
      </c>
      <c r="C128" t="s">
        <v>25</v>
      </c>
      <c r="D128">
        <v>9.9499999999999993</v>
      </c>
      <c r="E128">
        <v>201.01</v>
      </c>
      <c r="F128" t="s">
        <v>10</v>
      </c>
      <c r="G128" t="s">
        <v>22</v>
      </c>
      <c r="H128" t="s">
        <v>38</v>
      </c>
      <c r="I128" t="s">
        <v>13</v>
      </c>
    </row>
    <row r="129" spans="1:9" x14ac:dyDescent="0.3">
      <c r="A129">
        <v>10537</v>
      </c>
      <c r="B129" s="1">
        <v>44889</v>
      </c>
      <c r="C129" t="s">
        <v>9</v>
      </c>
      <c r="D129">
        <v>3.49</v>
      </c>
      <c r="E129">
        <v>630.37</v>
      </c>
      <c r="F129" t="s">
        <v>36</v>
      </c>
      <c r="G129" t="s">
        <v>22</v>
      </c>
      <c r="H129" t="s">
        <v>31</v>
      </c>
      <c r="I129" t="s">
        <v>16</v>
      </c>
    </row>
    <row r="130" spans="1:9" x14ac:dyDescent="0.3">
      <c r="A130">
        <v>10538</v>
      </c>
      <c r="B130" s="1">
        <v>44889</v>
      </c>
      <c r="C130" t="s">
        <v>14</v>
      </c>
      <c r="D130">
        <v>2.95</v>
      </c>
      <c r="E130">
        <v>745.76</v>
      </c>
      <c r="F130" t="s">
        <v>36</v>
      </c>
      <c r="G130" t="s">
        <v>22</v>
      </c>
      <c r="H130" t="s">
        <v>31</v>
      </c>
      <c r="I130" t="s">
        <v>16</v>
      </c>
    </row>
    <row r="131" spans="1:9" x14ac:dyDescent="0.3">
      <c r="A131">
        <v>10539</v>
      </c>
      <c r="B131" s="1">
        <v>44889</v>
      </c>
      <c r="C131" t="s">
        <v>17</v>
      </c>
      <c r="D131">
        <v>4.99</v>
      </c>
      <c r="E131">
        <v>200.4</v>
      </c>
      <c r="F131" t="s">
        <v>36</v>
      </c>
      <c r="G131" t="s">
        <v>22</v>
      </c>
      <c r="H131" t="s">
        <v>31</v>
      </c>
      <c r="I131" t="s">
        <v>16</v>
      </c>
    </row>
    <row r="132" spans="1:9" x14ac:dyDescent="0.3">
      <c r="A132">
        <v>10590</v>
      </c>
      <c r="B132" s="1">
        <v>44900</v>
      </c>
      <c r="C132" t="s">
        <v>21</v>
      </c>
      <c r="D132">
        <v>12.99</v>
      </c>
      <c r="E132">
        <v>554.27</v>
      </c>
      <c r="F132" t="s">
        <v>10</v>
      </c>
      <c r="G132" t="s">
        <v>22</v>
      </c>
      <c r="H132" t="s">
        <v>38</v>
      </c>
      <c r="I132" t="s">
        <v>13</v>
      </c>
    </row>
    <row r="133" spans="1:9" x14ac:dyDescent="0.3">
      <c r="A133">
        <v>10591</v>
      </c>
      <c r="B133" s="1">
        <v>44900</v>
      </c>
      <c r="C133" t="s">
        <v>25</v>
      </c>
      <c r="D133">
        <v>9.9499999999999993</v>
      </c>
      <c r="E133">
        <v>201.01</v>
      </c>
      <c r="F133" t="s">
        <v>10</v>
      </c>
      <c r="G133" t="s">
        <v>22</v>
      </c>
      <c r="H133" t="s">
        <v>38</v>
      </c>
      <c r="I133" t="s">
        <v>13</v>
      </c>
    </row>
    <row r="134" spans="1:9" x14ac:dyDescent="0.3">
      <c r="A134">
        <v>10592</v>
      </c>
      <c r="B134" s="1">
        <v>44900</v>
      </c>
      <c r="C134" t="s">
        <v>9</v>
      </c>
      <c r="D134">
        <v>3.49</v>
      </c>
      <c r="E134">
        <v>573.07000000000005</v>
      </c>
      <c r="F134" t="s">
        <v>10</v>
      </c>
      <c r="G134" t="s">
        <v>22</v>
      </c>
      <c r="H134" t="s">
        <v>38</v>
      </c>
      <c r="I134" t="s">
        <v>13</v>
      </c>
    </row>
    <row r="135" spans="1:9" x14ac:dyDescent="0.3">
      <c r="A135">
        <v>10593</v>
      </c>
      <c r="B135" s="1">
        <v>44900</v>
      </c>
      <c r="C135" t="s">
        <v>14</v>
      </c>
      <c r="D135">
        <v>2.95</v>
      </c>
      <c r="E135">
        <v>677.97</v>
      </c>
      <c r="F135" t="s">
        <v>10</v>
      </c>
      <c r="G135" t="s">
        <v>22</v>
      </c>
      <c r="H135" t="s">
        <v>38</v>
      </c>
      <c r="I135" t="s">
        <v>13</v>
      </c>
    </row>
    <row r="136" spans="1:9" x14ac:dyDescent="0.3">
      <c r="A136">
        <v>10594</v>
      </c>
      <c r="B136" s="1">
        <v>44900</v>
      </c>
      <c r="C136" t="s">
        <v>17</v>
      </c>
      <c r="D136">
        <v>4.99</v>
      </c>
      <c r="E136">
        <v>200.4</v>
      </c>
      <c r="F136" t="s">
        <v>10</v>
      </c>
      <c r="G136" t="s">
        <v>22</v>
      </c>
      <c r="H136" t="s">
        <v>38</v>
      </c>
      <c r="I136" t="s">
        <v>13</v>
      </c>
    </row>
    <row r="137" spans="1:9" x14ac:dyDescent="0.3">
      <c r="A137">
        <v>10595</v>
      </c>
      <c r="B137" s="1">
        <v>44901</v>
      </c>
      <c r="C137" t="s">
        <v>21</v>
      </c>
      <c r="D137">
        <v>12.99</v>
      </c>
      <c r="E137">
        <v>538.88</v>
      </c>
      <c r="F137" t="s">
        <v>10</v>
      </c>
      <c r="G137" t="s">
        <v>22</v>
      </c>
      <c r="H137" t="s">
        <v>38</v>
      </c>
      <c r="I137" t="s">
        <v>13</v>
      </c>
    </row>
    <row r="138" spans="1:9" x14ac:dyDescent="0.3">
      <c r="A138">
        <v>10596</v>
      </c>
      <c r="B138" s="1">
        <v>44901</v>
      </c>
      <c r="C138" t="s">
        <v>25</v>
      </c>
      <c r="D138">
        <v>9.9499999999999993</v>
      </c>
      <c r="E138">
        <v>201.01</v>
      </c>
      <c r="F138" t="s">
        <v>10</v>
      </c>
      <c r="G138" t="s">
        <v>22</v>
      </c>
      <c r="H138" t="s">
        <v>38</v>
      </c>
      <c r="I138" t="s">
        <v>13</v>
      </c>
    </row>
    <row r="139" spans="1:9" x14ac:dyDescent="0.3">
      <c r="A139">
        <v>10597</v>
      </c>
      <c r="B139" s="1">
        <v>44901</v>
      </c>
      <c r="C139" t="s">
        <v>9</v>
      </c>
      <c r="D139">
        <v>3.49</v>
      </c>
      <c r="E139">
        <v>573.07000000000005</v>
      </c>
      <c r="F139" t="s">
        <v>10</v>
      </c>
      <c r="G139" t="s">
        <v>22</v>
      </c>
      <c r="H139" t="s">
        <v>38</v>
      </c>
      <c r="I139" t="s">
        <v>13</v>
      </c>
    </row>
    <row r="140" spans="1:9" x14ac:dyDescent="0.3">
      <c r="A140">
        <v>10598</v>
      </c>
      <c r="B140" s="1">
        <v>44901</v>
      </c>
      <c r="C140" t="s">
        <v>14</v>
      </c>
      <c r="D140">
        <v>2.95</v>
      </c>
      <c r="E140">
        <v>677.97</v>
      </c>
      <c r="F140" t="s">
        <v>10</v>
      </c>
      <c r="G140" t="s">
        <v>22</v>
      </c>
      <c r="H140" t="s">
        <v>38</v>
      </c>
      <c r="I140" t="s">
        <v>13</v>
      </c>
    </row>
    <row r="141" spans="1:9" x14ac:dyDescent="0.3">
      <c r="A141">
        <v>10599</v>
      </c>
      <c r="B141" s="1">
        <v>44901</v>
      </c>
      <c r="C141" t="s">
        <v>17</v>
      </c>
      <c r="D141">
        <v>4.99</v>
      </c>
      <c r="E141">
        <v>200.4</v>
      </c>
      <c r="F141" t="s">
        <v>10</v>
      </c>
      <c r="G141" t="s">
        <v>22</v>
      </c>
      <c r="H141" t="s">
        <v>38</v>
      </c>
      <c r="I141" t="s">
        <v>13</v>
      </c>
    </row>
    <row r="142" spans="1:9" x14ac:dyDescent="0.3">
      <c r="A142">
        <v>10600</v>
      </c>
      <c r="B142" s="1">
        <v>44902</v>
      </c>
      <c r="C142" t="s">
        <v>21</v>
      </c>
      <c r="D142">
        <v>12.99</v>
      </c>
      <c r="E142">
        <v>523.48</v>
      </c>
      <c r="F142" t="s">
        <v>10</v>
      </c>
      <c r="G142" t="s">
        <v>22</v>
      </c>
      <c r="H142" t="s">
        <v>38</v>
      </c>
      <c r="I142" t="s">
        <v>13</v>
      </c>
    </row>
    <row r="143" spans="1:9" x14ac:dyDescent="0.3">
      <c r="A143">
        <v>10601</v>
      </c>
      <c r="B143" s="1">
        <v>44902</v>
      </c>
      <c r="C143" t="s">
        <v>25</v>
      </c>
      <c r="D143">
        <v>9.9499999999999993</v>
      </c>
      <c r="E143">
        <v>201.01</v>
      </c>
      <c r="F143" t="s">
        <v>10</v>
      </c>
      <c r="G143" t="s">
        <v>22</v>
      </c>
      <c r="H143" t="s">
        <v>38</v>
      </c>
      <c r="I143" t="s">
        <v>13</v>
      </c>
    </row>
    <row r="144" spans="1:9" x14ac:dyDescent="0.3">
      <c r="A144">
        <v>10602</v>
      </c>
      <c r="B144" s="1">
        <v>44902</v>
      </c>
      <c r="C144" t="s">
        <v>9</v>
      </c>
      <c r="D144">
        <v>3.49</v>
      </c>
      <c r="E144">
        <v>630.37</v>
      </c>
      <c r="F144" t="s">
        <v>10</v>
      </c>
      <c r="G144" t="s">
        <v>37</v>
      </c>
      <c r="H144" t="s">
        <v>38</v>
      </c>
      <c r="I144" t="s">
        <v>13</v>
      </c>
    </row>
    <row r="145" spans="1:9" x14ac:dyDescent="0.3">
      <c r="A145">
        <v>10603</v>
      </c>
      <c r="B145" s="1">
        <v>44902</v>
      </c>
      <c r="C145" t="s">
        <v>14</v>
      </c>
      <c r="D145">
        <v>2.95</v>
      </c>
      <c r="E145">
        <v>677.97</v>
      </c>
      <c r="F145" t="s">
        <v>10</v>
      </c>
      <c r="G145" t="s">
        <v>37</v>
      </c>
      <c r="H145" t="s">
        <v>38</v>
      </c>
      <c r="I145" t="s">
        <v>13</v>
      </c>
    </row>
    <row r="146" spans="1:9" x14ac:dyDescent="0.3">
      <c r="A146">
        <v>10604</v>
      </c>
      <c r="B146" s="1">
        <v>44902</v>
      </c>
      <c r="C146" t="s">
        <v>17</v>
      </c>
      <c r="D146">
        <v>4.99</v>
      </c>
      <c r="E146">
        <v>200.4</v>
      </c>
      <c r="F146" t="s">
        <v>10</v>
      </c>
      <c r="G146" t="s">
        <v>37</v>
      </c>
      <c r="H146" t="s">
        <v>38</v>
      </c>
      <c r="I146" t="s">
        <v>13</v>
      </c>
    </row>
    <row r="147" spans="1:9" x14ac:dyDescent="0.3">
      <c r="A147">
        <v>10605</v>
      </c>
      <c r="B147" s="1">
        <v>44903</v>
      </c>
      <c r="C147" t="s">
        <v>21</v>
      </c>
      <c r="D147">
        <v>12.99</v>
      </c>
      <c r="E147">
        <v>538.88</v>
      </c>
      <c r="F147" t="s">
        <v>10</v>
      </c>
      <c r="G147" t="s">
        <v>37</v>
      </c>
      <c r="H147" t="s">
        <v>38</v>
      </c>
      <c r="I147" t="s">
        <v>13</v>
      </c>
    </row>
    <row r="148" spans="1:9" x14ac:dyDescent="0.3">
      <c r="A148">
        <v>10606</v>
      </c>
      <c r="B148" s="1">
        <v>44903</v>
      </c>
      <c r="C148" t="s">
        <v>25</v>
      </c>
      <c r="D148">
        <v>9.9499999999999993</v>
      </c>
      <c r="E148">
        <v>201.01</v>
      </c>
      <c r="F148" t="s">
        <v>10</v>
      </c>
      <c r="G148" t="s">
        <v>37</v>
      </c>
      <c r="H148" t="s">
        <v>38</v>
      </c>
      <c r="I148" t="s">
        <v>13</v>
      </c>
    </row>
    <row r="149" spans="1:9" x14ac:dyDescent="0.3">
      <c r="A149">
        <v>10607</v>
      </c>
      <c r="B149" s="1">
        <v>44903</v>
      </c>
      <c r="C149" t="s">
        <v>9</v>
      </c>
      <c r="D149">
        <v>3.49</v>
      </c>
      <c r="E149">
        <v>630.37</v>
      </c>
      <c r="F149" t="s">
        <v>10</v>
      </c>
      <c r="G149" t="s">
        <v>37</v>
      </c>
      <c r="H149" t="s">
        <v>38</v>
      </c>
      <c r="I149" t="s">
        <v>13</v>
      </c>
    </row>
    <row r="150" spans="1:9" x14ac:dyDescent="0.3">
      <c r="A150">
        <v>10608</v>
      </c>
      <c r="B150" s="1">
        <v>44903</v>
      </c>
      <c r="C150" t="s">
        <v>14</v>
      </c>
      <c r="D150">
        <v>2.95</v>
      </c>
      <c r="E150">
        <v>677.97</v>
      </c>
      <c r="F150" t="s">
        <v>10</v>
      </c>
      <c r="G150" t="s">
        <v>11</v>
      </c>
      <c r="H150" t="s">
        <v>38</v>
      </c>
      <c r="I150" t="s">
        <v>13</v>
      </c>
    </row>
    <row r="151" spans="1:9" x14ac:dyDescent="0.3">
      <c r="A151">
        <v>10609</v>
      </c>
      <c r="B151" s="1">
        <v>44903</v>
      </c>
      <c r="C151" t="s">
        <v>17</v>
      </c>
      <c r="D151">
        <v>4.99</v>
      </c>
      <c r="E151">
        <v>200.4</v>
      </c>
      <c r="F151" t="s">
        <v>10</v>
      </c>
      <c r="G151" t="s">
        <v>11</v>
      </c>
      <c r="H151" t="s">
        <v>38</v>
      </c>
      <c r="I151" t="s">
        <v>13</v>
      </c>
    </row>
    <row r="152" spans="1:9" x14ac:dyDescent="0.3">
      <c r="A152">
        <v>10610</v>
      </c>
      <c r="B152" s="1">
        <v>44904</v>
      </c>
      <c r="C152" t="s">
        <v>21</v>
      </c>
      <c r="D152">
        <v>12.99</v>
      </c>
      <c r="E152">
        <v>569.66999999999996</v>
      </c>
      <c r="F152" t="s">
        <v>10</v>
      </c>
      <c r="G152" t="s">
        <v>11</v>
      </c>
      <c r="H152" t="s">
        <v>38</v>
      </c>
      <c r="I152" t="s">
        <v>13</v>
      </c>
    </row>
    <row r="153" spans="1:9" x14ac:dyDescent="0.3">
      <c r="A153">
        <v>10611</v>
      </c>
      <c r="B153" s="1">
        <v>44904</v>
      </c>
      <c r="C153" t="s">
        <v>25</v>
      </c>
      <c r="D153">
        <v>9.9499999999999993</v>
      </c>
      <c r="E153">
        <v>201.01</v>
      </c>
      <c r="F153" t="s">
        <v>10</v>
      </c>
      <c r="G153" t="s">
        <v>11</v>
      </c>
      <c r="H153" t="s">
        <v>38</v>
      </c>
      <c r="I153" t="s">
        <v>13</v>
      </c>
    </row>
    <row r="154" spans="1:9" x14ac:dyDescent="0.3">
      <c r="A154">
        <v>10612</v>
      </c>
      <c r="B154" s="1">
        <v>44904</v>
      </c>
      <c r="C154" t="s">
        <v>9</v>
      </c>
      <c r="D154">
        <v>3.49</v>
      </c>
      <c r="E154">
        <v>630.37</v>
      </c>
      <c r="F154" t="s">
        <v>10</v>
      </c>
      <c r="G154" t="s">
        <v>11</v>
      </c>
      <c r="H154" t="s">
        <v>38</v>
      </c>
      <c r="I154" t="s">
        <v>13</v>
      </c>
    </row>
    <row r="155" spans="1:9" x14ac:dyDescent="0.3">
      <c r="A155">
        <v>10613</v>
      </c>
      <c r="B155" s="1">
        <v>44904</v>
      </c>
      <c r="C155" t="s">
        <v>14</v>
      </c>
      <c r="D155">
        <v>2.95</v>
      </c>
      <c r="E155">
        <v>677.97</v>
      </c>
      <c r="F155" t="s">
        <v>10</v>
      </c>
      <c r="G155" t="s">
        <v>11</v>
      </c>
      <c r="H155" t="s">
        <v>38</v>
      </c>
      <c r="I155" t="s">
        <v>13</v>
      </c>
    </row>
    <row r="156" spans="1:9" x14ac:dyDescent="0.3">
      <c r="A156">
        <v>10614</v>
      </c>
      <c r="B156" s="1">
        <v>44904</v>
      </c>
      <c r="C156" t="s">
        <v>17</v>
      </c>
      <c r="D156">
        <v>4.99</v>
      </c>
      <c r="E156">
        <v>200.4</v>
      </c>
      <c r="F156" t="s">
        <v>10</v>
      </c>
      <c r="G156" t="s">
        <v>11</v>
      </c>
      <c r="H156" t="s">
        <v>38</v>
      </c>
      <c r="I156" t="s">
        <v>13</v>
      </c>
    </row>
    <row r="157" spans="1:9" x14ac:dyDescent="0.3">
      <c r="A157">
        <v>10615</v>
      </c>
      <c r="B157" s="1">
        <v>44905</v>
      </c>
      <c r="C157" t="s">
        <v>21</v>
      </c>
      <c r="D157">
        <v>12.99</v>
      </c>
      <c r="E157">
        <v>569.66999999999996</v>
      </c>
      <c r="F157" t="s">
        <v>10</v>
      </c>
      <c r="G157" t="s">
        <v>11</v>
      </c>
      <c r="H157" t="s">
        <v>38</v>
      </c>
      <c r="I157" t="s">
        <v>13</v>
      </c>
    </row>
    <row r="158" spans="1:9" x14ac:dyDescent="0.3">
      <c r="A158">
        <v>10616</v>
      </c>
      <c r="B158" s="1">
        <v>44905</v>
      </c>
      <c r="C158" t="s">
        <v>25</v>
      </c>
      <c r="D158">
        <v>9.9499999999999993</v>
      </c>
      <c r="E158">
        <v>201.01</v>
      </c>
      <c r="F158" t="s">
        <v>10</v>
      </c>
      <c r="G158" t="s">
        <v>11</v>
      </c>
      <c r="H158" t="s">
        <v>38</v>
      </c>
      <c r="I158" t="s">
        <v>13</v>
      </c>
    </row>
    <row r="159" spans="1:9" x14ac:dyDescent="0.3">
      <c r="A159">
        <v>10617</v>
      </c>
      <c r="B159" s="1">
        <v>44905</v>
      </c>
      <c r="C159" t="s">
        <v>9</v>
      </c>
      <c r="D159">
        <v>3.49</v>
      </c>
      <c r="E159">
        <v>630.37</v>
      </c>
      <c r="F159" t="s">
        <v>10</v>
      </c>
      <c r="G159" t="s">
        <v>11</v>
      </c>
      <c r="H159" t="s">
        <v>38</v>
      </c>
      <c r="I159" t="s">
        <v>13</v>
      </c>
    </row>
    <row r="160" spans="1:9" x14ac:dyDescent="0.3">
      <c r="A160">
        <v>10618</v>
      </c>
      <c r="B160" s="1">
        <v>44905</v>
      </c>
      <c r="C160" t="s">
        <v>14</v>
      </c>
      <c r="D160">
        <v>2.95</v>
      </c>
      <c r="E160">
        <v>677.97</v>
      </c>
      <c r="F160" t="s">
        <v>10</v>
      </c>
      <c r="G160" t="s">
        <v>11</v>
      </c>
      <c r="H160" t="s">
        <v>38</v>
      </c>
      <c r="I160" t="s">
        <v>13</v>
      </c>
    </row>
    <row r="161" spans="1:9" x14ac:dyDescent="0.3">
      <c r="A161">
        <v>10619</v>
      </c>
      <c r="B161" s="1">
        <v>44905</v>
      </c>
      <c r="C161" t="s">
        <v>17</v>
      </c>
      <c r="D161">
        <v>4.99</v>
      </c>
      <c r="E161">
        <v>200.4</v>
      </c>
      <c r="F161" t="s">
        <v>10</v>
      </c>
      <c r="G161" t="s">
        <v>11</v>
      </c>
      <c r="H161" t="s">
        <v>38</v>
      </c>
      <c r="I161" t="s">
        <v>13</v>
      </c>
    </row>
    <row r="162" spans="1:9" x14ac:dyDescent="0.3">
      <c r="A162">
        <v>10620</v>
      </c>
      <c r="B162" s="1">
        <v>44906</v>
      </c>
      <c r="C162" t="s">
        <v>21</v>
      </c>
      <c r="D162">
        <v>12.99</v>
      </c>
      <c r="E162">
        <v>585.07000000000005</v>
      </c>
      <c r="F162" t="s">
        <v>10</v>
      </c>
      <c r="G162" t="s">
        <v>11</v>
      </c>
      <c r="H162" t="s">
        <v>38</v>
      </c>
      <c r="I162" t="s">
        <v>13</v>
      </c>
    </row>
    <row r="163" spans="1:9" x14ac:dyDescent="0.3">
      <c r="A163">
        <v>10621</v>
      </c>
      <c r="B163" s="1">
        <v>44906</v>
      </c>
      <c r="C163" t="s">
        <v>25</v>
      </c>
      <c r="D163">
        <v>9.9499999999999993</v>
      </c>
      <c r="E163">
        <v>201.01</v>
      </c>
      <c r="F163" t="s">
        <v>10</v>
      </c>
      <c r="G163" t="s">
        <v>11</v>
      </c>
      <c r="H163" t="s">
        <v>38</v>
      </c>
      <c r="I163" t="s">
        <v>13</v>
      </c>
    </row>
    <row r="164" spans="1:9" x14ac:dyDescent="0.3">
      <c r="A164">
        <v>10622</v>
      </c>
      <c r="B164" s="1">
        <v>44906</v>
      </c>
      <c r="C164" t="s">
        <v>9</v>
      </c>
      <c r="D164">
        <v>3.49</v>
      </c>
      <c r="E164">
        <v>630.37</v>
      </c>
      <c r="F164" t="s">
        <v>10</v>
      </c>
      <c r="G164" t="s">
        <v>11</v>
      </c>
      <c r="H164" t="s">
        <v>38</v>
      </c>
      <c r="I164" t="s">
        <v>13</v>
      </c>
    </row>
    <row r="165" spans="1:9" x14ac:dyDescent="0.3">
      <c r="A165">
        <v>10623</v>
      </c>
      <c r="B165" s="1">
        <v>44906</v>
      </c>
      <c r="C165" t="s">
        <v>14</v>
      </c>
      <c r="D165">
        <v>2.95</v>
      </c>
      <c r="E165">
        <v>745.76</v>
      </c>
      <c r="F165" t="s">
        <v>10</v>
      </c>
      <c r="G165" t="s">
        <v>11</v>
      </c>
      <c r="H165" t="s">
        <v>38</v>
      </c>
      <c r="I165" t="s">
        <v>13</v>
      </c>
    </row>
    <row r="166" spans="1:9" x14ac:dyDescent="0.3">
      <c r="A166">
        <v>10624</v>
      </c>
      <c r="B166" s="1">
        <v>44906</v>
      </c>
      <c r="C166" t="s">
        <v>17</v>
      </c>
      <c r="D166">
        <v>4.99</v>
      </c>
      <c r="E166">
        <v>200.4</v>
      </c>
      <c r="F166" t="s">
        <v>10</v>
      </c>
      <c r="G166" t="s">
        <v>11</v>
      </c>
      <c r="H166" t="s">
        <v>38</v>
      </c>
      <c r="I166" t="s">
        <v>13</v>
      </c>
    </row>
    <row r="167" spans="1:9" x14ac:dyDescent="0.3">
      <c r="A167">
        <v>10625</v>
      </c>
      <c r="B167" s="1">
        <v>44907</v>
      </c>
      <c r="C167" t="s">
        <v>21</v>
      </c>
      <c r="D167">
        <v>12.99</v>
      </c>
      <c r="E167">
        <v>569.66999999999996</v>
      </c>
      <c r="F167" t="s">
        <v>10</v>
      </c>
      <c r="G167" t="s">
        <v>11</v>
      </c>
      <c r="H167" t="s">
        <v>38</v>
      </c>
      <c r="I167" t="s">
        <v>13</v>
      </c>
    </row>
    <row r="168" spans="1:9" x14ac:dyDescent="0.3">
      <c r="A168">
        <v>10626</v>
      </c>
      <c r="B168" s="1">
        <v>44907</v>
      </c>
      <c r="C168" t="s">
        <v>25</v>
      </c>
      <c r="D168">
        <v>9.9499999999999993</v>
      </c>
      <c r="E168">
        <v>201.01</v>
      </c>
      <c r="F168" t="s">
        <v>10</v>
      </c>
      <c r="G168" t="s">
        <v>11</v>
      </c>
      <c r="H168" t="s">
        <v>38</v>
      </c>
      <c r="I168" t="s">
        <v>13</v>
      </c>
    </row>
    <row r="169" spans="1:9" x14ac:dyDescent="0.3">
      <c r="A169">
        <v>10627</v>
      </c>
      <c r="B169" s="1">
        <v>44907</v>
      </c>
      <c r="C169" t="s">
        <v>9</v>
      </c>
      <c r="D169">
        <v>3.49</v>
      </c>
      <c r="E169">
        <v>630.37</v>
      </c>
      <c r="F169" t="s">
        <v>10</v>
      </c>
      <c r="G169" t="s">
        <v>11</v>
      </c>
      <c r="H169" t="s">
        <v>38</v>
      </c>
      <c r="I169" t="s">
        <v>13</v>
      </c>
    </row>
    <row r="170" spans="1:9" x14ac:dyDescent="0.3">
      <c r="A170">
        <v>10628</v>
      </c>
      <c r="B170" s="1">
        <v>44907</v>
      </c>
      <c r="C170" t="s">
        <v>14</v>
      </c>
      <c r="D170">
        <v>2.95</v>
      </c>
      <c r="E170">
        <v>677.97</v>
      </c>
      <c r="F170" t="s">
        <v>10</v>
      </c>
      <c r="G170" t="s">
        <v>11</v>
      </c>
      <c r="H170" t="s">
        <v>35</v>
      </c>
      <c r="I170" t="s">
        <v>20</v>
      </c>
    </row>
    <row r="171" spans="1:9" x14ac:dyDescent="0.3">
      <c r="A171">
        <v>10629</v>
      </c>
      <c r="B171" s="1">
        <v>44907</v>
      </c>
      <c r="C171" t="s">
        <v>17</v>
      </c>
      <c r="D171">
        <v>4.99</v>
      </c>
      <c r="E171">
        <v>200.4</v>
      </c>
      <c r="F171" t="s">
        <v>10</v>
      </c>
      <c r="G171" t="s">
        <v>11</v>
      </c>
      <c r="H171" t="s">
        <v>35</v>
      </c>
      <c r="I171" t="s">
        <v>20</v>
      </c>
    </row>
    <row r="172" spans="1:9" x14ac:dyDescent="0.3">
      <c r="A172">
        <v>10630</v>
      </c>
      <c r="B172" s="1">
        <v>44908</v>
      </c>
      <c r="C172" t="s">
        <v>21</v>
      </c>
      <c r="D172">
        <v>12.99</v>
      </c>
      <c r="E172">
        <v>569.66999999999996</v>
      </c>
      <c r="F172" t="s">
        <v>10</v>
      </c>
      <c r="G172" t="s">
        <v>37</v>
      </c>
      <c r="H172" t="s">
        <v>35</v>
      </c>
      <c r="I172" t="s">
        <v>20</v>
      </c>
    </row>
    <row r="173" spans="1:9" x14ac:dyDescent="0.3">
      <c r="A173">
        <v>10631</v>
      </c>
      <c r="B173" s="1">
        <v>44908</v>
      </c>
      <c r="C173" t="s">
        <v>25</v>
      </c>
      <c r="D173">
        <v>9.9499999999999993</v>
      </c>
      <c r="E173">
        <v>201.01</v>
      </c>
      <c r="F173" t="s">
        <v>10</v>
      </c>
      <c r="G173" t="s">
        <v>11</v>
      </c>
      <c r="H173" t="s">
        <v>35</v>
      </c>
      <c r="I173" t="s">
        <v>20</v>
      </c>
    </row>
    <row r="174" spans="1:9" x14ac:dyDescent="0.3">
      <c r="A174">
        <v>10632</v>
      </c>
      <c r="B174" s="1">
        <v>44908</v>
      </c>
      <c r="C174" t="s">
        <v>9</v>
      </c>
      <c r="D174">
        <v>3.49</v>
      </c>
      <c r="E174">
        <v>630.37</v>
      </c>
      <c r="F174" t="s">
        <v>10</v>
      </c>
      <c r="G174" t="s">
        <v>11</v>
      </c>
      <c r="H174" t="s">
        <v>35</v>
      </c>
      <c r="I174" t="s">
        <v>20</v>
      </c>
    </row>
    <row r="175" spans="1:9" x14ac:dyDescent="0.3">
      <c r="A175">
        <v>10633</v>
      </c>
      <c r="B175" s="1">
        <v>44908</v>
      </c>
      <c r="C175" t="s">
        <v>14</v>
      </c>
      <c r="D175">
        <v>2.95</v>
      </c>
      <c r="E175">
        <v>677.97</v>
      </c>
      <c r="F175" t="s">
        <v>10</v>
      </c>
      <c r="G175" t="s">
        <v>11</v>
      </c>
      <c r="H175" t="s">
        <v>35</v>
      </c>
      <c r="I175" t="s">
        <v>20</v>
      </c>
    </row>
    <row r="176" spans="1:9" x14ac:dyDescent="0.3">
      <c r="A176">
        <v>10634</v>
      </c>
      <c r="B176" s="1">
        <v>44908</v>
      </c>
      <c r="C176" t="s">
        <v>17</v>
      </c>
      <c r="D176">
        <v>4.99</v>
      </c>
      <c r="E176">
        <v>200.4</v>
      </c>
      <c r="F176" t="s">
        <v>10</v>
      </c>
      <c r="G176" t="s">
        <v>11</v>
      </c>
      <c r="H176" t="s">
        <v>35</v>
      </c>
      <c r="I176" t="s">
        <v>20</v>
      </c>
    </row>
    <row r="177" spans="1:9" x14ac:dyDescent="0.3">
      <c r="A177">
        <v>10635</v>
      </c>
      <c r="B177" s="1">
        <v>44909</v>
      </c>
      <c r="C177" t="s">
        <v>21</v>
      </c>
      <c r="D177">
        <v>12.99</v>
      </c>
      <c r="E177">
        <v>554.27</v>
      </c>
      <c r="F177" t="s">
        <v>10</v>
      </c>
      <c r="G177" t="s">
        <v>11</v>
      </c>
      <c r="H177" t="s">
        <v>35</v>
      </c>
      <c r="I177" t="s">
        <v>20</v>
      </c>
    </row>
    <row r="178" spans="1:9" x14ac:dyDescent="0.3">
      <c r="A178">
        <v>10636</v>
      </c>
      <c r="B178" s="1">
        <v>44909</v>
      </c>
      <c r="C178" t="s">
        <v>25</v>
      </c>
      <c r="D178">
        <v>9.9499999999999993</v>
      </c>
      <c r="E178">
        <v>221.11</v>
      </c>
      <c r="F178" t="s">
        <v>10</v>
      </c>
      <c r="G178" t="s">
        <v>11</v>
      </c>
      <c r="H178" t="s">
        <v>35</v>
      </c>
      <c r="I178" t="s">
        <v>20</v>
      </c>
    </row>
    <row r="179" spans="1:9" x14ac:dyDescent="0.3">
      <c r="A179">
        <v>10637</v>
      </c>
      <c r="B179" s="1">
        <v>44909</v>
      </c>
      <c r="C179" t="s">
        <v>9</v>
      </c>
      <c r="D179">
        <v>3.49</v>
      </c>
      <c r="E179">
        <v>630.37</v>
      </c>
      <c r="F179" t="s">
        <v>10</v>
      </c>
      <c r="G179" t="s">
        <v>11</v>
      </c>
      <c r="H179" t="s">
        <v>35</v>
      </c>
      <c r="I179" t="s">
        <v>20</v>
      </c>
    </row>
    <row r="180" spans="1:9" x14ac:dyDescent="0.3">
      <c r="A180">
        <v>10638</v>
      </c>
      <c r="B180" s="1">
        <v>44909</v>
      </c>
      <c r="C180" t="s">
        <v>14</v>
      </c>
      <c r="D180">
        <v>2.95</v>
      </c>
      <c r="E180">
        <v>677.97</v>
      </c>
      <c r="F180" t="s">
        <v>10</v>
      </c>
      <c r="G180" t="s">
        <v>11</v>
      </c>
      <c r="H180" t="s">
        <v>35</v>
      </c>
      <c r="I180" t="s">
        <v>20</v>
      </c>
    </row>
    <row r="181" spans="1:9" x14ac:dyDescent="0.3">
      <c r="A181">
        <v>10639</v>
      </c>
      <c r="B181" s="1">
        <v>44909</v>
      </c>
      <c r="C181" t="s">
        <v>17</v>
      </c>
      <c r="D181">
        <v>4.99</v>
      </c>
      <c r="E181">
        <v>200.4</v>
      </c>
      <c r="F181" t="s">
        <v>10</v>
      </c>
      <c r="G181" t="s">
        <v>11</v>
      </c>
      <c r="H181" t="s">
        <v>35</v>
      </c>
      <c r="I181" t="s">
        <v>20</v>
      </c>
    </row>
    <row r="182" spans="1:9" x14ac:dyDescent="0.3">
      <c r="A182">
        <v>10640</v>
      </c>
      <c r="B182" s="1">
        <v>44910</v>
      </c>
      <c r="C182" t="s">
        <v>21</v>
      </c>
      <c r="D182">
        <v>12.99</v>
      </c>
      <c r="E182">
        <v>538.88</v>
      </c>
      <c r="F182" t="s">
        <v>10</v>
      </c>
      <c r="G182" t="s">
        <v>11</v>
      </c>
      <c r="H182" t="s">
        <v>35</v>
      </c>
      <c r="I182" t="s">
        <v>20</v>
      </c>
    </row>
    <row r="183" spans="1:9" x14ac:dyDescent="0.3">
      <c r="A183">
        <v>10641</v>
      </c>
      <c r="B183" s="1">
        <v>44910</v>
      </c>
      <c r="C183" t="s">
        <v>25</v>
      </c>
      <c r="D183">
        <v>9.9499999999999993</v>
      </c>
      <c r="E183">
        <v>221.11</v>
      </c>
      <c r="F183" t="s">
        <v>10</v>
      </c>
      <c r="G183" t="s">
        <v>11</v>
      </c>
      <c r="H183" t="s">
        <v>35</v>
      </c>
      <c r="I183" t="s">
        <v>20</v>
      </c>
    </row>
    <row r="184" spans="1:9" x14ac:dyDescent="0.3">
      <c r="A184">
        <v>10642</v>
      </c>
      <c r="B184" s="1">
        <v>44910</v>
      </c>
      <c r="C184" t="s">
        <v>9</v>
      </c>
      <c r="D184">
        <v>3.49</v>
      </c>
      <c r="E184">
        <v>630.37</v>
      </c>
      <c r="F184" t="s">
        <v>10</v>
      </c>
      <c r="G184" t="s">
        <v>37</v>
      </c>
      <c r="H184" t="s">
        <v>35</v>
      </c>
      <c r="I184" t="s">
        <v>20</v>
      </c>
    </row>
    <row r="185" spans="1:9" x14ac:dyDescent="0.3">
      <c r="A185">
        <v>10643</v>
      </c>
      <c r="B185" s="1">
        <v>44910</v>
      </c>
      <c r="C185" t="s">
        <v>14</v>
      </c>
      <c r="D185">
        <v>2.95</v>
      </c>
      <c r="E185">
        <v>677.97</v>
      </c>
      <c r="F185" t="s">
        <v>10</v>
      </c>
      <c r="G185" t="s">
        <v>37</v>
      </c>
      <c r="H185" t="s">
        <v>35</v>
      </c>
      <c r="I185" t="s">
        <v>20</v>
      </c>
    </row>
    <row r="186" spans="1:9" x14ac:dyDescent="0.3">
      <c r="A186">
        <v>10644</v>
      </c>
      <c r="B186" s="1">
        <v>44910</v>
      </c>
      <c r="C186" t="s">
        <v>17</v>
      </c>
      <c r="D186">
        <v>4.99</v>
      </c>
      <c r="E186">
        <v>200.4</v>
      </c>
      <c r="F186" t="s">
        <v>10</v>
      </c>
      <c r="G186" t="s">
        <v>37</v>
      </c>
      <c r="H186" t="s">
        <v>35</v>
      </c>
      <c r="I186" t="s">
        <v>20</v>
      </c>
    </row>
    <row r="187" spans="1:9" x14ac:dyDescent="0.3">
      <c r="A187">
        <v>10645</v>
      </c>
      <c r="B187" s="1">
        <v>44911</v>
      </c>
      <c r="C187" t="s">
        <v>21</v>
      </c>
      <c r="D187">
        <v>12.99</v>
      </c>
      <c r="E187">
        <v>569.66999999999996</v>
      </c>
      <c r="F187" t="s">
        <v>10</v>
      </c>
      <c r="G187" t="s">
        <v>37</v>
      </c>
      <c r="H187" t="s">
        <v>35</v>
      </c>
      <c r="I187" t="s">
        <v>20</v>
      </c>
    </row>
    <row r="188" spans="1:9" x14ac:dyDescent="0.3">
      <c r="A188">
        <v>10646</v>
      </c>
      <c r="B188" s="1">
        <v>44911</v>
      </c>
      <c r="C188" t="s">
        <v>25</v>
      </c>
      <c r="D188">
        <v>9.9499999999999993</v>
      </c>
      <c r="E188">
        <v>221.11</v>
      </c>
      <c r="F188" t="s">
        <v>10</v>
      </c>
      <c r="G188" t="s">
        <v>37</v>
      </c>
      <c r="H188" t="s">
        <v>35</v>
      </c>
      <c r="I188" t="s">
        <v>20</v>
      </c>
    </row>
    <row r="189" spans="1:9" x14ac:dyDescent="0.3">
      <c r="A189">
        <v>10647</v>
      </c>
      <c r="B189" s="1">
        <v>44911</v>
      </c>
      <c r="C189" t="s">
        <v>9</v>
      </c>
      <c r="D189">
        <v>3.49</v>
      </c>
      <c r="E189">
        <v>630.37</v>
      </c>
      <c r="F189" t="s">
        <v>10</v>
      </c>
      <c r="G189" t="s">
        <v>11</v>
      </c>
      <c r="H189" t="s">
        <v>35</v>
      </c>
      <c r="I189" t="s">
        <v>20</v>
      </c>
    </row>
    <row r="190" spans="1:9" x14ac:dyDescent="0.3">
      <c r="A190">
        <v>10648</v>
      </c>
      <c r="B190" s="1">
        <v>44911</v>
      </c>
      <c r="C190" t="s">
        <v>14</v>
      </c>
      <c r="D190">
        <v>2.95</v>
      </c>
      <c r="E190">
        <v>745.76</v>
      </c>
      <c r="F190" t="s">
        <v>10</v>
      </c>
      <c r="G190" t="s">
        <v>11</v>
      </c>
      <c r="H190" t="s">
        <v>35</v>
      </c>
      <c r="I190" t="s">
        <v>20</v>
      </c>
    </row>
    <row r="191" spans="1:9" x14ac:dyDescent="0.3">
      <c r="A191">
        <v>10649</v>
      </c>
      <c r="B191" s="1">
        <v>44911</v>
      </c>
      <c r="C191" t="s">
        <v>17</v>
      </c>
      <c r="D191">
        <v>4.99</v>
      </c>
      <c r="E191">
        <v>200.4</v>
      </c>
      <c r="F191" t="s">
        <v>10</v>
      </c>
      <c r="G191" t="s">
        <v>11</v>
      </c>
      <c r="H191" t="s">
        <v>35</v>
      </c>
      <c r="I191" t="s">
        <v>20</v>
      </c>
    </row>
    <row r="192" spans="1:9" x14ac:dyDescent="0.3">
      <c r="A192">
        <v>10650</v>
      </c>
      <c r="B192" s="1">
        <v>44912</v>
      </c>
      <c r="C192" t="s">
        <v>21</v>
      </c>
      <c r="D192">
        <v>12.99</v>
      </c>
      <c r="E192">
        <v>585.07000000000005</v>
      </c>
      <c r="F192" t="s">
        <v>10</v>
      </c>
      <c r="G192" t="s">
        <v>11</v>
      </c>
      <c r="H192" t="s">
        <v>35</v>
      </c>
      <c r="I192" t="s">
        <v>20</v>
      </c>
    </row>
    <row r="193" spans="1:9" x14ac:dyDescent="0.3">
      <c r="A193">
        <v>10651</v>
      </c>
      <c r="B193" s="1">
        <v>44912</v>
      </c>
      <c r="C193" t="s">
        <v>25</v>
      </c>
      <c r="D193">
        <v>9.9499999999999993</v>
      </c>
      <c r="E193">
        <v>221.11</v>
      </c>
      <c r="F193" t="s">
        <v>10</v>
      </c>
      <c r="G193" t="s">
        <v>11</v>
      </c>
      <c r="H193" t="s">
        <v>35</v>
      </c>
      <c r="I193" t="s">
        <v>20</v>
      </c>
    </row>
    <row r="194" spans="1:9" x14ac:dyDescent="0.3">
      <c r="A194">
        <v>10652</v>
      </c>
      <c r="B194" s="1">
        <v>44912</v>
      </c>
      <c r="C194" t="s">
        <v>9</v>
      </c>
      <c r="D194">
        <v>3.49</v>
      </c>
      <c r="E194">
        <v>687.68</v>
      </c>
      <c r="F194" t="s">
        <v>10</v>
      </c>
      <c r="G194" t="s">
        <v>11</v>
      </c>
      <c r="H194" t="s">
        <v>35</v>
      </c>
      <c r="I194" t="s">
        <v>20</v>
      </c>
    </row>
    <row r="195" spans="1:9" x14ac:dyDescent="0.3">
      <c r="A195">
        <v>10653</v>
      </c>
      <c r="B195" s="1">
        <v>44912</v>
      </c>
      <c r="C195" t="s">
        <v>14</v>
      </c>
      <c r="D195">
        <v>2.95</v>
      </c>
      <c r="E195">
        <v>745.76</v>
      </c>
      <c r="F195" t="s">
        <v>10</v>
      </c>
      <c r="G195" t="s">
        <v>11</v>
      </c>
      <c r="H195" t="s">
        <v>35</v>
      </c>
      <c r="I195" t="s">
        <v>20</v>
      </c>
    </row>
    <row r="196" spans="1:9" x14ac:dyDescent="0.3">
      <c r="A196">
        <v>10654</v>
      </c>
      <c r="B196" s="1">
        <v>44912</v>
      </c>
      <c r="C196" t="s">
        <v>17</v>
      </c>
      <c r="D196">
        <v>4.99</v>
      </c>
      <c r="E196">
        <v>200.4</v>
      </c>
      <c r="F196" t="s">
        <v>10</v>
      </c>
      <c r="G196" t="s">
        <v>11</v>
      </c>
      <c r="H196" t="s">
        <v>35</v>
      </c>
      <c r="I196" t="s">
        <v>20</v>
      </c>
    </row>
    <row r="197" spans="1:9" x14ac:dyDescent="0.3">
      <c r="A197">
        <v>10655</v>
      </c>
      <c r="B197" s="1">
        <v>44913</v>
      </c>
      <c r="C197" t="s">
        <v>21</v>
      </c>
      <c r="D197">
        <v>12.99</v>
      </c>
      <c r="E197">
        <v>600.46</v>
      </c>
      <c r="F197" t="s">
        <v>10</v>
      </c>
      <c r="G197" t="s">
        <v>11</v>
      </c>
      <c r="H197" t="s">
        <v>35</v>
      </c>
      <c r="I197" t="s">
        <v>20</v>
      </c>
    </row>
    <row r="198" spans="1:9" x14ac:dyDescent="0.3">
      <c r="A198">
        <v>10656</v>
      </c>
      <c r="B198" s="1">
        <v>44913</v>
      </c>
      <c r="C198" t="s">
        <v>25</v>
      </c>
      <c r="D198">
        <v>9.9499999999999993</v>
      </c>
      <c r="E198">
        <v>221.11</v>
      </c>
      <c r="F198" t="s">
        <v>10</v>
      </c>
      <c r="G198" t="s">
        <v>11</v>
      </c>
      <c r="H198" t="s">
        <v>35</v>
      </c>
      <c r="I198" t="s">
        <v>20</v>
      </c>
    </row>
    <row r="199" spans="1:9" x14ac:dyDescent="0.3">
      <c r="A199">
        <v>10657</v>
      </c>
      <c r="B199" s="1">
        <v>44913</v>
      </c>
      <c r="C199" t="s">
        <v>9</v>
      </c>
      <c r="D199">
        <v>3.49</v>
      </c>
      <c r="E199">
        <v>687.68</v>
      </c>
      <c r="F199" t="s">
        <v>10</v>
      </c>
      <c r="G199" t="s">
        <v>11</v>
      </c>
      <c r="H199" t="s">
        <v>35</v>
      </c>
      <c r="I199" t="s">
        <v>20</v>
      </c>
    </row>
    <row r="200" spans="1:9" x14ac:dyDescent="0.3">
      <c r="A200">
        <v>10658</v>
      </c>
      <c r="B200" s="1">
        <v>44913</v>
      </c>
      <c r="C200" t="s">
        <v>14</v>
      </c>
      <c r="D200">
        <v>2.95</v>
      </c>
      <c r="E200">
        <v>745.76</v>
      </c>
      <c r="F200" t="s">
        <v>10</v>
      </c>
      <c r="G200" t="s">
        <v>37</v>
      </c>
      <c r="H200" t="s">
        <v>35</v>
      </c>
      <c r="I200" t="s">
        <v>20</v>
      </c>
    </row>
    <row r="201" spans="1:9" x14ac:dyDescent="0.3">
      <c r="A201">
        <v>10659</v>
      </c>
      <c r="B201" s="1">
        <v>44913</v>
      </c>
      <c r="C201" t="s">
        <v>17</v>
      </c>
      <c r="D201">
        <v>4.99</v>
      </c>
      <c r="E201">
        <v>200.4</v>
      </c>
      <c r="F201" t="s">
        <v>10</v>
      </c>
      <c r="G201" t="s">
        <v>37</v>
      </c>
      <c r="H201" t="s">
        <v>35</v>
      </c>
      <c r="I201" t="s">
        <v>20</v>
      </c>
    </row>
    <row r="202" spans="1:9" x14ac:dyDescent="0.3">
      <c r="A202">
        <v>10660</v>
      </c>
      <c r="B202" s="1">
        <v>44914</v>
      </c>
      <c r="C202" t="s">
        <v>21</v>
      </c>
      <c r="D202">
        <v>12.99</v>
      </c>
      <c r="E202">
        <v>631.25</v>
      </c>
      <c r="F202" t="s">
        <v>18</v>
      </c>
      <c r="G202" t="s">
        <v>37</v>
      </c>
      <c r="H202" t="s">
        <v>35</v>
      </c>
      <c r="I202" t="s">
        <v>20</v>
      </c>
    </row>
    <row r="203" spans="1:9" x14ac:dyDescent="0.3">
      <c r="A203">
        <v>10661</v>
      </c>
      <c r="B203" s="1">
        <v>44914</v>
      </c>
      <c r="C203" t="s">
        <v>25</v>
      </c>
      <c r="D203">
        <v>9.9499999999999993</v>
      </c>
      <c r="E203">
        <v>221.11</v>
      </c>
      <c r="F203" t="s">
        <v>18</v>
      </c>
      <c r="G203" t="s">
        <v>37</v>
      </c>
      <c r="H203" t="s">
        <v>35</v>
      </c>
      <c r="I203" t="s">
        <v>20</v>
      </c>
    </row>
    <row r="204" spans="1:9" x14ac:dyDescent="0.3">
      <c r="A204">
        <v>10662</v>
      </c>
      <c r="B204" s="1">
        <v>44914</v>
      </c>
      <c r="C204" t="s">
        <v>9</v>
      </c>
      <c r="D204">
        <v>3.49</v>
      </c>
      <c r="E204">
        <v>630.37</v>
      </c>
      <c r="F204" t="s">
        <v>18</v>
      </c>
      <c r="G204" t="s">
        <v>37</v>
      </c>
      <c r="H204" t="s">
        <v>35</v>
      </c>
      <c r="I204" t="s">
        <v>20</v>
      </c>
    </row>
    <row r="205" spans="1:9" x14ac:dyDescent="0.3">
      <c r="A205">
        <v>10663</v>
      </c>
      <c r="B205" s="1">
        <v>44914</v>
      </c>
      <c r="C205" t="s">
        <v>14</v>
      </c>
      <c r="D205">
        <v>2.95</v>
      </c>
      <c r="E205">
        <v>745.76</v>
      </c>
      <c r="F205" t="s">
        <v>18</v>
      </c>
      <c r="G205" t="s">
        <v>37</v>
      </c>
      <c r="H205" t="s">
        <v>35</v>
      </c>
      <c r="I205" t="s">
        <v>20</v>
      </c>
    </row>
    <row r="206" spans="1:9" x14ac:dyDescent="0.3">
      <c r="A206">
        <v>10664</v>
      </c>
      <c r="B206" s="1">
        <v>44914</v>
      </c>
      <c r="C206" t="s">
        <v>17</v>
      </c>
      <c r="D206">
        <v>4.99</v>
      </c>
      <c r="E206">
        <v>200.4</v>
      </c>
      <c r="F206" t="s">
        <v>18</v>
      </c>
      <c r="G206" t="s">
        <v>37</v>
      </c>
      <c r="H206" t="s">
        <v>35</v>
      </c>
      <c r="I206" t="s">
        <v>20</v>
      </c>
    </row>
    <row r="207" spans="1:9" x14ac:dyDescent="0.3">
      <c r="A207">
        <v>10665</v>
      </c>
      <c r="B207" s="1">
        <v>44915</v>
      </c>
      <c r="C207" t="s">
        <v>21</v>
      </c>
      <c r="D207">
        <v>12.99</v>
      </c>
      <c r="E207">
        <v>646.65</v>
      </c>
      <c r="F207" t="s">
        <v>18</v>
      </c>
      <c r="G207" t="s">
        <v>37</v>
      </c>
      <c r="H207" t="s">
        <v>35</v>
      </c>
      <c r="I207" t="s">
        <v>20</v>
      </c>
    </row>
    <row r="208" spans="1:9" x14ac:dyDescent="0.3">
      <c r="A208">
        <v>10666</v>
      </c>
      <c r="B208" s="1">
        <v>44915</v>
      </c>
      <c r="C208" t="s">
        <v>25</v>
      </c>
      <c r="D208">
        <v>9.9499999999999993</v>
      </c>
      <c r="E208">
        <v>221.11</v>
      </c>
      <c r="F208" t="s">
        <v>18</v>
      </c>
      <c r="G208" t="s">
        <v>37</v>
      </c>
      <c r="H208" t="s">
        <v>35</v>
      </c>
      <c r="I208" t="s">
        <v>20</v>
      </c>
    </row>
    <row r="209" spans="1:9" x14ac:dyDescent="0.3">
      <c r="A209">
        <v>10667</v>
      </c>
      <c r="B209" s="1">
        <v>44915</v>
      </c>
      <c r="C209" t="s">
        <v>9</v>
      </c>
      <c r="D209">
        <v>3.49</v>
      </c>
      <c r="E209">
        <v>630.37</v>
      </c>
      <c r="F209" t="s">
        <v>18</v>
      </c>
      <c r="G209" t="s">
        <v>37</v>
      </c>
      <c r="H209" t="s">
        <v>35</v>
      </c>
      <c r="I209" t="s">
        <v>20</v>
      </c>
    </row>
    <row r="210" spans="1:9" x14ac:dyDescent="0.3">
      <c r="A210">
        <v>10668</v>
      </c>
      <c r="B210" s="1">
        <v>44915</v>
      </c>
      <c r="C210" t="s">
        <v>14</v>
      </c>
      <c r="D210">
        <v>2.95</v>
      </c>
      <c r="E210">
        <v>745.76</v>
      </c>
      <c r="F210" t="s">
        <v>18</v>
      </c>
      <c r="G210" t="s">
        <v>37</v>
      </c>
      <c r="H210" t="s">
        <v>35</v>
      </c>
      <c r="I210" t="s">
        <v>20</v>
      </c>
    </row>
    <row r="211" spans="1:9" x14ac:dyDescent="0.3">
      <c r="A211">
        <v>10669</v>
      </c>
      <c r="B211" s="1">
        <v>44915</v>
      </c>
      <c r="C211" t="s">
        <v>17</v>
      </c>
      <c r="D211">
        <v>4.99</v>
      </c>
      <c r="E211">
        <v>200.4</v>
      </c>
      <c r="F211" t="s">
        <v>18</v>
      </c>
      <c r="G211" t="s">
        <v>37</v>
      </c>
      <c r="H211" t="s">
        <v>35</v>
      </c>
      <c r="I211" t="s">
        <v>20</v>
      </c>
    </row>
    <row r="212" spans="1:9" x14ac:dyDescent="0.3">
      <c r="A212">
        <v>10670</v>
      </c>
      <c r="B212" s="1">
        <v>44916</v>
      </c>
      <c r="C212" t="s">
        <v>21</v>
      </c>
      <c r="D212">
        <v>12.99</v>
      </c>
      <c r="E212">
        <v>677.44</v>
      </c>
      <c r="F212" t="s">
        <v>18</v>
      </c>
      <c r="G212" t="s">
        <v>37</v>
      </c>
      <c r="H212" t="s">
        <v>35</v>
      </c>
      <c r="I212" t="s">
        <v>20</v>
      </c>
    </row>
    <row r="213" spans="1:9" x14ac:dyDescent="0.3">
      <c r="A213">
        <v>10671</v>
      </c>
      <c r="B213" s="1">
        <v>44916</v>
      </c>
      <c r="C213" t="s">
        <v>25</v>
      </c>
      <c r="D213">
        <v>9.9499999999999993</v>
      </c>
      <c r="E213">
        <v>221.11</v>
      </c>
      <c r="F213" t="s">
        <v>18</v>
      </c>
      <c r="G213" t="s">
        <v>37</v>
      </c>
      <c r="H213" t="s">
        <v>35</v>
      </c>
      <c r="I213" t="s">
        <v>20</v>
      </c>
    </row>
    <row r="214" spans="1:9" x14ac:dyDescent="0.3">
      <c r="A214">
        <v>10672</v>
      </c>
      <c r="B214" s="1">
        <v>44916</v>
      </c>
      <c r="C214" t="s">
        <v>9</v>
      </c>
      <c r="D214">
        <v>3.49</v>
      </c>
      <c r="E214">
        <v>630.37</v>
      </c>
      <c r="F214" t="s">
        <v>18</v>
      </c>
      <c r="G214" t="s">
        <v>37</v>
      </c>
      <c r="H214" t="s">
        <v>35</v>
      </c>
      <c r="I214" t="s">
        <v>20</v>
      </c>
    </row>
    <row r="215" spans="1:9" x14ac:dyDescent="0.3">
      <c r="A215">
        <v>10673</v>
      </c>
      <c r="B215" s="1">
        <v>44916</v>
      </c>
      <c r="C215" t="s">
        <v>14</v>
      </c>
      <c r="D215">
        <v>2.95</v>
      </c>
      <c r="E215">
        <v>745.76</v>
      </c>
      <c r="F215" t="s">
        <v>18</v>
      </c>
      <c r="G215" t="s">
        <v>37</v>
      </c>
      <c r="H215" t="s">
        <v>35</v>
      </c>
      <c r="I215" t="s">
        <v>20</v>
      </c>
    </row>
    <row r="216" spans="1:9" x14ac:dyDescent="0.3">
      <c r="A216">
        <v>10674</v>
      </c>
      <c r="B216" s="1">
        <v>44916</v>
      </c>
      <c r="C216" t="s">
        <v>17</v>
      </c>
      <c r="D216">
        <v>4.99</v>
      </c>
      <c r="E216">
        <v>200.4</v>
      </c>
      <c r="F216" t="s">
        <v>18</v>
      </c>
      <c r="G216" t="s">
        <v>37</v>
      </c>
      <c r="H216" t="s">
        <v>35</v>
      </c>
      <c r="I216" t="s">
        <v>20</v>
      </c>
    </row>
    <row r="217" spans="1:9" x14ac:dyDescent="0.3">
      <c r="A217">
        <v>10675</v>
      </c>
      <c r="B217" s="1">
        <v>44917</v>
      </c>
      <c r="C217" t="s">
        <v>21</v>
      </c>
      <c r="D217">
        <v>12.99</v>
      </c>
      <c r="E217">
        <v>677.44</v>
      </c>
      <c r="F217" t="s">
        <v>18</v>
      </c>
      <c r="G217" t="s">
        <v>37</v>
      </c>
      <c r="H217" t="s">
        <v>35</v>
      </c>
      <c r="I217" t="s">
        <v>20</v>
      </c>
    </row>
    <row r="218" spans="1:9" x14ac:dyDescent="0.3">
      <c r="A218">
        <v>10676</v>
      </c>
      <c r="B218" s="1">
        <v>44917</v>
      </c>
      <c r="C218" t="s">
        <v>25</v>
      </c>
      <c r="D218">
        <v>9.9499999999999993</v>
      </c>
      <c r="E218">
        <v>241.21</v>
      </c>
      <c r="F218" t="s">
        <v>18</v>
      </c>
      <c r="G218" t="s">
        <v>37</v>
      </c>
      <c r="H218" t="s">
        <v>35</v>
      </c>
      <c r="I218" t="s">
        <v>20</v>
      </c>
    </row>
    <row r="219" spans="1:9" x14ac:dyDescent="0.3">
      <c r="A219">
        <v>10677</v>
      </c>
      <c r="B219" s="1">
        <v>44917</v>
      </c>
      <c r="C219" t="s">
        <v>9</v>
      </c>
      <c r="D219">
        <v>3.49</v>
      </c>
      <c r="E219">
        <v>630.37</v>
      </c>
      <c r="F219" t="s">
        <v>18</v>
      </c>
      <c r="G219" t="s">
        <v>37</v>
      </c>
      <c r="H219" t="s">
        <v>35</v>
      </c>
      <c r="I219" t="s">
        <v>20</v>
      </c>
    </row>
    <row r="220" spans="1:9" x14ac:dyDescent="0.3">
      <c r="A220">
        <v>10678</v>
      </c>
      <c r="B220" s="1">
        <v>44917</v>
      </c>
      <c r="C220" t="s">
        <v>14</v>
      </c>
      <c r="D220">
        <v>2.95</v>
      </c>
      <c r="E220">
        <v>745.76</v>
      </c>
      <c r="F220" t="s">
        <v>18</v>
      </c>
      <c r="G220" t="s">
        <v>37</v>
      </c>
      <c r="H220" t="s">
        <v>35</v>
      </c>
      <c r="I220" t="s">
        <v>20</v>
      </c>
    </row>
    <row r="221" spans="1:9" x14ac:dyDescent="0.3">
      <c r="A221">
        <v>10679</v>
      </c>
      <c r="B221" s="1">
        <v>44917</v>
      </c>
      <c r="C221" t="s">
        <v>17</v>
      </c>
      <c r="D221">
        <v>4.99</v>
      </c>
      <c r="E221">
        <v>200.4</v>
      </c>
      <c r="F221" t="s">
        <v>18</v>
      </c>
      <c r="G221" t="s">
        <v>37</v>
      </c>
      <c r="H221" t="s">
        <v>35</v>
      </c>
      <c r="I221" t="s">
        <v>20</v>
      </c>
    </row>
    <row r="222" spans="1:9" x14ac:dyDescent="0.3">
      <c r="A222">
        <v>10680</v>
      </c>
      <c r="B222" s="1">
        <v>44918</v>
      </c>
      <c r="C222" t="s">
        <v>21</v>
      </c>
      <c r="D222">
        <v>12.99</v>
      </c>
      <c r="E222">
        <v>646.65</v>
      </c>
      <c r="F222" t="s">
        <v>18</v>
      </c>
      <c r="G222" t="s">
        <v>37</v>
      </c>
      <c r="H222" t="s">
        <v>35</v>
      </c>
      <c r="I222" t="s">
        <v>20</v>
      </c>
    </row>
    <row r="223" spans="1:9" x14ac:dyDescent="0.3">
      <c r="A223">
        <v>10681</v>
      </c>
      <c r="B223" s="1">
        <v>44918</v>
      </c>
      <c r="C223" t="s">
        <v>25</v>
      </c>
      <c r="D223">
        <v>9.9499999999999993</v>
      </c>
      <c r="E223">
        <v>241.21</v>
      </c>
      <c r="F223" t="s">
        <v>18</v>
      </c>
      <c r="G223" t="s">
        <v>37</v>
      </c>
      <c r="H223" t="s">
        <v>35</v>
      </c>
      <c r="I223" t="s">
        <v>20</v>
      </c>
    </row>
    <row r="224" spans="1:9" x14ac:dyDescent="0.3">
      <c r="A224">
        <v>10682</v>
      </c>
      <c r="B224" s="1">
        <v>44918</v>
      </c>
      <c r="C224" t="s">
        <v>9</v>
      </c>
      <c r="D224">
        <v>3.49</v>
      </c>
      <c r="E224">
        <v>630.37</v>
      </c>
      <c r="F224" t="s">
        <v>18</v>
      </c>
      <c r="G224" t="s">
        <v>37</v>
      </c>
      <c r="H224" t="s">
        <v>35</v>
      </c>
      <c r="I224" t="s">
        <v>20</v>
      </c>
    </row>
    <row r="225" spans="1:9" x14ac:dyDescent="0.3">
      <c r="A225">
        <v>10683</v>
      </c>
      <c r="B225" s="1">
        <v>44918</v>
      </c>
      <c r="C225" t="s">
        <v>14</v>
      </c>
      <c r="D225">
        <v>2.95</v>
      </c>
      <c r="E225">
        <v>677.97</v>
      </c>
      <c r="F225" t="s">
        <v>18</v>
      </c>
      <c r="G225" t="s">
        <v>37</v>
      </c>
      <c r="H225" t="s">
        <v>35</v>
      </c>
      <c r="I225" t="s">
        <v>20</v>
      </c>
    </row>
    <row r="226" spans="1:9" x14ac:dyDescent="0.3">
      <c r="A226">
        <v>10684</v>
      </c>
      <c r="B226" s="1">
        <v>44918</v>
      </c>
      <c r="C226" t="s">
        <v>17</v>
      </c>
      <c r="D226">
        <v>4.99</v>
      </c>
      <c r="E226">
        <v>200.4</v>
      </c>
      <c r="F226" t="s">
        <v>18</v>
      </c>
      <c r="G226" t="s">
        <v>37</v>
      </c>
      <c r="H226" t="s">
        <v>35</v>
      </c>
      <c r="I226" t="s">
        <v>20</v>
      </c>
    </row>
    <row r="227" spans="1:9" x14ac:dyDescent="0.3">
      <c r="A227">
        <v>10685</v>
      </c>
      <c r="B227" s="1">
        <v>44919</v>
      </c>
      <c r="C227" t="s">
        <v>21</v>
      </c>
      <c r="D227">
        <v>12.99</v>
      </c>
      <c r="E227">
        <v>677.44</v>
      </c>
      <c r="F227" t="s">
        <v>18</v>
      </c>
      <c r="G227" t="s">
        <v>37</v>
      </c>
      <c r="H227" t="s">
        <v>35</v>
      </c>
      <c r="I227" t="s">
        <v>20</v>
      </c>
    </row>
    <row r="228" spans="1:9" x14ac:dyDescent="0.3">
      <c r="A228">
        <v>10686</v>
      </c>
      <c r="B228" s="1">
        <v>44919</v>
      </c>
      <c r="C228" t="s">
        <v>25</v>
      </c>
      <c r="D228">
        <v>9.9499999999999993</v>
      </c>
      <c r="E228">
        <v>241.21</v>
      </c>
      <c r="F228" t="s">
        <v>18</v>
      </c>
      <c r="G228" t="s">
        <v>37</v>
      </c>
      <c r="H228" t="s">
        <v>35</v>
      </c>
      <c r="I228" t="s">
        <v>20</v>
      </c>
    </row>
    <row r="229" spans="1:9" x14ac:dyDescent="0.3">
      <c r="A229">
        <v>10687</v>
      </c>
      <c r="B229" s="1">
        <v>44919</v>
      </c>
      <c r="C229" t="s">
        <v>9</v>
      </c>
      <c r="D229">
        <v>3.49</v>
      </c>
      <c r="E229">
        <v>630.37</v>
      </c>
      <c r="F229" t="s">
        <v>18</v>
      </c>
      <c r="G229" t="s">
        <v>37</v>
      </c>
      <c r="H229" t="s">
        <v>23</v>
      </c>
      <c r="I229" t="s">
        <v>24</v>
      </c>
    </row>
    <row r="230" spans="1:9" x14ac:dyDescent="0.3">
      <c r="A230">
        <v>10688</v>
      </c>
      <c r="B230" s="1">
        <v>44919</v>
      </c>
      <c r="C230" t="s">
        <v>14</v>
      </c>
      <c r="D230">
        <v>2.95</v>
      </c>
      <c r="E230">
        <v>677.97</v>
      </c>
      <c r="F230" t="s">
        <v>18</v>
      </c>
      <c r="G230" t="s">
        <v>37</v>
      </c>
      <c r="H230" t="s">
        <v>23</v>
      </c>
      <c r="I230" t="s">
        <v>24</v>
      </c>
    </row>
    <row r="231" spans="1:9" x14ac:dyDescent="0.3">
      <c r="A231">
        <v>10689</v>
      </c>
      <c r="B231" s="1">
        <v>44919</v>
      </c>
      <c r="C231" t="s">
        <v>17</v>
      </c>
      <c r="D231">
        <v>4.99</v>
      </c>
      <c r="E231">
        <v>200.4</v>
      </c>
      <c r="F231" t="s">
        <v>18</v>
      </c>
      <c r="G231" t="s">
        <v>37</v>
      </c>
      <c r="H231" t="s">
        <v>23</v>
      </c>
      <c r="I231" t="s">
        <v>24</v>
      </c>
    </row>
    <row r="232" spans="1:9" x14ac:dyDescent="0.3">
      <c r="A232">
        <v>10690</v>
      </c>
      <c r="B232" s="1">
        <v>44920</v>
      </c>
      <c r="C232" t="s">
        <v>21</v>
      </c>
      <c r="D232">
        <v>12.99</v>
      </c>
      <c r="E232">
        <v>677.44</v>
      </c>
      <c r="F232" t="s">
        <v>18</v>
      </c>
      <c r="G232" t="s">
        <v>37</v>
      </c>
      <c r="H232" t="s">
        <v>23</v>
      </c>
      <c r="I232" t="s">
        <v>24</v>
      </c>
    </row>
    <row r="233" spans="1:9" x14ac:dyDescent="0.3">
      <c r="A233">
        <v>10691</v>
      </c>
      <c r="B233" s="1">
        <v>44920</v>
      </c>
      <c r="C233" t="s">
        <v>25</v>
      </c>
      <c r="D233">
        <v>9.9499999999999993</v>
      </c>
      <c r="E233">
        <v>261.31</v>
      </c>
      <c r="F233" t="s">
        <v>18</v>
      </c>
      <c r="G233" t="s">
        <v>37</v>
      </c>
      <c r="H233" t="s">
        <v>23</v>
      </c>
      <c r="I233" t="s">
        <v>24</v>
      </c>
    </row>
    <row r="234" spans="1:9" x14ac:dyDescent="0.3">
      <c r="A234">
        <v>10692</v>
      </c>
      <c r="B234" s="1">
        <v>44920</v>
      </c>
      <c r="C234" t="s">
        <v>9</v>
      </c>
      <c r="D234">
        <v>3.49</v>
      </c>
      <c r="E234">
        <v>630.37</v>
      </c>
      <c r="F234" t="s">
        <v>18</v>
      </c>
      <c r="G234" t="s">
        <v>37</v>
      </c>
      <c r="H234" t="s">
        <v>23</v>
      </c>
      <c r="I234" t="s">
        <v>24</v>
      </c>
    </row>
    <row r="235" spans="1:9" x14ac:dyDescent="0.3">
      <c r="A235">
        <v>10693</v>
      </c>
      <c r="B235" s="1">
        <v>44920</v>
      </c>
      <c r="C235" t="s">
        <v>14</v>
      </c>
      <c r="D235">
        <v>2.95</v>
      </c>
      <c r="E235">
        <v>677.97</v>
      </c>
      <c r="F235" t="s">
        <v>18</v>
      </c>
      <c r="G235" t="s">
        <v>37</v>
      </c>
      <c r="H235" t="s">
        <v>23</v>
      </c>
      <c r="I235" t="s">
        <v>24</v>
      </c>
    </row>
    <row r="236" spans="1:9" x14ac:dyDescent="0.3">
      <c r="A236">
        <v>10694</v>
      </c>
      <c r="B236" s="1">
        <v>44920</v>
      </c>
      <c r="C236" t="s">
        <v>17</v>
      </c>
      <c r="D236">
        <v>4.99</v>
      </c>
      <c r="E236">
        <v>200.4</v>
      </c>
      <c r="F236" t="s">
        <v>18</v>
      </c>
      <c r="G236" t="s">
        <v>37</v>
      </c>
      <c r="H236" t="s">
        <v>23</v>
      </c>
      <c r="I236" t="s">
        <v>24</v>
      </c>
    </row>
    <row r="237" spans="1:9" x14ac:dyDescent="0.3">
      <c r="A237">
        <v>10695</v>
      </c>
      <c r="B237" s="1">
        <v>44921</v>
      </c>
      <c r="C237" t="s">
        <v>21</v>
      </c>
      <c r="D237">
        <v>12.99</v>
      </c>
      <c r="E237">
        <v>692.84</v>
      </c>
      <c r="F237" t="s">
        <v>18</v>
      </c>
      <c r="G237" t="s">
        <v>37</v>
      </c>
      <c r="H237" t="s">
        <v>23</v>
      </c>
      <c r="I237" t="s">
        <v>24</v>
      </c>
    </row>
    <row r="238" spans="1:9" x14ac:dyDescent="0.3">
      <c r="A238">
        <v>10696</v>
      </c>
      <c r="B238" s="1">
        <v>44921</v>
      </c>
      <c r="C238" t="s">
        <v>25</v>
      </c>
      <c r="D238">
        <v>9.9499999999999993</v>
      </c>
      <c r="E238">
        <v>281.41000000000003</v>
      </c>
      <c r="F238" t="s">
        <v>18</v>
      </c>
      <c r="G238" t="s">
        <v>37</v>
      </c>
      <c r="H238" t="s">
        <v>23</v>
      </c>
      <c r="I238" t="s">
        <v>24</v>
      </c>
    </row>
    <row r="239" spans="1:9" x14ac:dyDescent="0.3">
      <c r="A239">
        <v>10697</v>
      </c>
      <c r="B239" s="1">
        <v>44921</v>
      </c>
      <c r="C239" t="s">
        <v>9</v>
      </c>
      <c r="D239">
        <v>3.49</v>
      </c>
      <c r="E239">
        <v>630.37</v>
      </c>
      <c r="F239" t="s">
        <v>18</v>
      </c>
      <c r="G239" t="s">
        <v>37</v>
      </c>
      <c r="H239" t="s">
        <v>23</v>
      </c>
      <c r="I239" t="s">
        <v>24</v>
      </c>
    </row>
    <row r="240" spans="1:9" x14ac:dyDescent="0.3">
      <c r="A240">
        <v>10698</v>
      </c>
      <c r="B240" s="1">
        <v>44921</v>
      </c>
      <c r="C240" t="s">
        <v>14</v>
      </c>
      <c r="D240">
        <v>2.95</v>
      </c>
      <c r="E240">
        <v>677.97</v>
      </c>
      <c r="F240" t="s">
        <v>18</v>
      </c>
      <c r="G240" t="s">
        <v>37</v>
      </c>
      <c r="H240" t="s">
        <v>23</v>
      </c>
      <c r="I240" t="s">
        <v>24</v>
      </c>
    </row>
    <row r="241" spans="1:9" x14ac:dyDescent="0.3">
      <c r="A241">
        <v>10699</v>
      </c>
      <c r="B241" s="1">
        <v>44921</v>
      </c>
      <c r="C241" t="s">
        <v>17</v>
      </c>
      <c r="D241">
        <v>4.99</v>
      </c>
      <c r="E241">
        <v>200.4</v>
      </c>
      <c r="F241" t="s">
        <v>18</v>
      </c>
      <c r="G241" t="s">
        <v>37</v>
      </c>
      <c r="H241" t="s">
        <v>23</v>
      </c>
      <c r="I241" t="s">
        <v>24</v>
      </c>
    </row>
    <row r="242" spans="1:9" x14ac:dyDescent="0.3">
      <c r="A242">
        <v>10700</v>
      </c>
      <c r="B242" s="1">
        <v>44922</v>
      </c>
      <c r="C242" t="s">
        <v>21</v>
      </c>
      <c r="D242">
        <v>12.99</v>
      </c>
      <c r="E242">
        <v>692.84</v>
      </c>
      <c r="F242" t="s">
        <v>18</v>
      </c>
      <c r="G242" t="s">
        <v>37</v>
      </c>
      <c r="H242" t="s">
        <v>23</v>
      </c>
      <c r="I242" t="s">
        <v>24</v>
      </c>
    </row>
    <row r="243" spans="1:9" x14ac:dyDescent="0.3">
      <c r="A243">
        <v>10701</v>
      </c>
      <c r="B243" s="1">
        <v>44922</v>
      </c>
      <c r="C243" t="s">
        <v>25</v>
      </c>
      <c r="D243">
        <v>9.9499999999999993</v>
      </c>
      <c r="E243">
        <v>281.41000000000003</v>
      </c>
      <c r="F243" t="s">
        <v>18</v>
      </c>
      <c r="G243" t="s">
        <v>37</v>
      </c>
      <c r="H243" t="s">
        <v>23</v>
      </c>
      <c r="I243" t="s">
        <v>24</v>
      </c>
    </row>
    <row r="244" spans="1:9" x14ac:dyDescent="0.3">
      <c r="A244">
        <v>10702</v>
      </c>
      <c r="B244" s="1">
        <v>44922</v>
      </c>
      <c r="C244" t="s">
        <v>9</v>
      </c>
      <c r="D244">
        <v>3.49</v>
      </c>
      <c r="E244">
        <v>630.37</v>
      </c>
      <c r="F244" t="s">
        <v>18</v>
      </c>
      <c r="G244" t="s">
        <v>37</v>
      </c>
      <c r="H244" t="s">
        <v>23</v>
      </c>
      <c r="I244" t="s">
        <v>24</v>
      </c>
    </row>
    <row r="245" spans="1:9" x14ac:dyDescent="0.3">
      <c r="A245">
        <v>10703</v>
      </c>
      <c r="B245" s="1">
        <v>44922</v>
      </c>
      <c r="C245" t="s">
        <v>14</v>
      </c>
      <c r="D245">
        <v>2.95</v>
      </c>
      <c r="E245">
        <v>677.97</v>
      </c>
      <c r="F245" t="s">
        <v>18</v>
      </c>
      <c r="G245" t="s">
        <v>11</v>
      </c>
      <c r="H245" t="s">
        <v>23</v>
      </c>
      <c r="I245" t="s">
        <v>24</v>
      </c>
    </row>
    <row r="246" spans="1:9" x14ac:dyDescent="0.3">
      <c r="A246">
        <v>10704</v>
      </c>
      <c r="B246" s="1">
        <v>44922</v>
      </c>
      <c r="C246" t="s">
        <v>17</v>
      </c>
      <c r="D246">
        <v>4.99</v>
      </c>
      <c r="E246">
        <v>200.4</v>
      </c>
      <c r="F246" t="s">
        <v>36</v>
      </c>
      <c r="G246" t="s">
        <v>11</v>
      </c>
      <c r="H246" t="s">
        <v>23</v>
      </c>
      <c r="I246" t="s">
        <v>24</v>
      </c>
    </row>
    <row r="247" spans="1:9" x14ac:dyDescent="0.3">
      <c r="A247">
        <v>10705</v>
      </c>
      <c r="B247" s="1">
        <v>44923</v>
      </c>
      <c r="C247" t="s">
        <v>21</v>
      </c>
      <c r="D247">
        <v>12.99</v>
      </c>
      <c r="E247">
        <v>723.63</v>
      </c>
      <c r="F247" t="s">
        <v>36</v>
      </c>
      <c r="G247" t="s">
        <v>11</v>
      </c>
      <c r="H247" t="s">
        <v>23</v>
      </c>
      <c r="I247" t="s">
        <v>24</v>
      </c>
    </row>
    <row r="248" spans="1:9" x14ac:dyDescent="0.3">
      <c r="A248">
        <v>10706</v>
      </c>
      <c r="B248" s="1">
        <v>44923</v>
      </c>
      <c r="C248" t="s">
        <v>25</v>
      </c>
      <c r="D248">
        <v>9.9499999999999993</v>
      </c>
      <c r="E248">
        <v>301.51</v>
      </c>
      <c r="F248" t="s">
        <v>36</v>
      </c>
      <c r="G248" t="s">
        <v>11</v>
      </c>
      <c r="H248" t="s">
        <v>23</v>
      </c>
      <c r="I248" t="s">
        <v>24</v>
      </c>
    </row>
    <row r="249" spans="1:9" x14ac:dyDescent="0.3">
      <c r="A249">
        <v>10707</v>
      </c>
      <c r="B249" s="1">
        <v>44923</v>
      </c>
      <c r="C249" t="s">
        <v>9</v>
      </c>
      <c r="D249">
        <v>3.49</v>
      </c>
      <c r="E249">
        <v>630.37</v>
      </c>
      <c r="F249" t="s">
        <v>36</v>
      </c>
      <c r="G249" t="s">
        <v>11</v>
      </c>
      <c r="H249" t="s">
        <v>23</v>
      </c>
      <c r="I249" t="s">
        <v>24</v>
      </c>
    </row>
    <row r="250" spans="1:9" x14ac:dyDescent="0.3">
      <c r="A250">
        <v>10708</v>
      </c>
      <c r="B250" s="1">
        <v>44923</v>
      </c>
      <c r="C250" t="s">
        <v>14</v>
      </c>
      <c r="D250">
        <v>2.95</v>
      </c>
      <c r="E250">
        <v>677.97</v>
      </c>
      <c r="F250" t="s">
        <v>36</v>
      </c>
      <c r="G250" t="s">
        <v>11</v>
      </c>
      <c r="H250" t="s">
        <v>23</v>
      </c>
      <c r="I250" t="s">
        <v>24</v>
      </c>
    </row>
    <row r="251" spans="1:9" x14ac:dyDescent="0.3">
      <c r="A251">
        <v>10709</v>
      </c>
      <c r="B251" s="1">
        <v>44923</v>
      </c>
      <c r="C251" t="s">
        <v>17</v>
      </c>
      <c r="D251">
        <v>4.99</v>
      </c>
      <c r="E251">
        <v>200.4</v>
      </c>
      <c r="F251" t="s">
        <v>36</v>
      </c>
      <c r="G251" t="s">
        <v>11</v>
      </c>
      <c r="H251" t="s">
        <v>23</v>
      </c>
      <c r="I251" t="s">
        <v>24</v>
      </c>
    </row>
    <row r="252" spans="1:9" x14ac:dyDescent="0.3">
      <c r="A252">
        <v>10710</v>
      </c>
      <c r="B252" s="1">
        <v>44924</v>
      </c>
      <c r="C252" t="s">
        <v>21</v>
      </c>
      <c r="D252">
        <v>12.99</v>
      </c>
      <c r="E252">
        <v>754.43</v>
      </c>
      <c r="F252" t="s">
        <v>36</v>
      </c>
      <c r="G252" t="s">
        <v>11</v>
      </c>
      <c r="H252" t="s">
        <v>23</v>
      </c>
      <c r="I252" t="s">
        <v>24</v>
      </c>
    </row>
    <row r="253" spans="1:9" x14ac:dyDescent="0.3">
      <c r="A253">
        <v>10711</v>
      </c>
      <c r="B253" s="1">
        <v>44924</v>
      </c>
      <c r="C253" t="s">
        <v>25</v>
      </c>
      <c r="D253">
        <v>9.9499999999999993</v>
      </c>
      <c r="E253">
        <v>281.41000000000003</v>
      </c>
      <c r="F253" t="s">
        <v>36</v>
      </c>
      <c r="G253" t="s">
        <v>11</v>
      </c>
      <c r="H253" t="s">
        <v>23</v>
      </c>
      <c r="I253" t="s">
        <v>24</v>
      </c>
    </row>
    <row r="254" spans="1:9" x14ac:dyDescent="0.3">
      <c r="A254">
        <v>10712</v>
      </c>
      <c r="B254" s="1">
        <v>44924</v>
      </c>
      <c r="C254" t="s">
        <v>9</v>
      </c>
      <c r="D254">
        <v>3.49</v>
      </c>
      <c r="E254">
        <v>630.37</v>
      </c>
      <c r="F254" t="s">
        <v>36</v>
      </c>
      <c r="G254" t="s">
        <v>11</v>
      </c>
      <c r="H254" t="s">
        <v>23</v>
      </c>
      <c r="I254" t="s">
        <v>24</v>
      </c>
    </row>
    <row r="255" spans="1:9" x14ac:dyDescent="0.3">
      <c r="A255">
        <v>10713</v>
      </c>
      <c r="B255" s="1">
        <v>44924</v>
      </c>
      <c r="C255" t="s">
        <v>14</v>
      </c>
      <c r="D255">
        <v>2.95</v>
      </c>
      <c r="E255">
        <v>677.97</v>
      </c>
      <c r="F255" t="s">
        <v>36</v>
      </c>
      <c r="G255" t="s">
        <v>11</v>
      </c>
      <c r="H255" t="s">
        <v>23</v>
      </c>
      <c r="I255"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A3175-B2C2-4B08-AFD5-3BF68C4DAF49}">
  <dimension ref="A3:B12"/>
  <sheetViews>
    <sheetView workbookViewId="0">
      <selection activeCell="C17" sqref="C17"/>
    </sheetView>
  </sheetViews>
  <sheetFormatPr defaultRowHeight="14" x14ac:dyDescent="0.3"/>
  <cols>
    <col min="1" max="1" width="17.69921875" bestFit="1" customWidth="1"/>
    <col min="2" max="2" width="18.19921875" bestFit="1" customWidth="1"/>
  </cols>
  <sheetData>
    <row r="3" spans="1:2" x14ac:dyDescent="0.3">
      <c r="A3" s="8" t="s">
        <v>42</v>
      </c>
      <c r="B3" t="s">
        <v>44</v>
      </c>
    </row>
    <row r="4" spans="1:2" x14ac:dyDescent="0.3">
      <c r="A4" s="9" t="s">
        <v>21</v>
      </c>
      <c r="B4" s="4">
        <v>376999.80689999991</v>
      </c>
    </row>
    <row r="5" spans="1:2" x14ac:dyDescent="0.3">
      <c r="A5" s="9" t="s">
        <v>9</v>
      </c>
      <c r="B5" s="4">
        <v>125674.29029999988</v>
      </c>
    </row>
    <row r="6" spans="1:2" x14ac:dyDescent="0.3">
      <c r="A6" s="9" t="s">
        <v>25</v>
      </c>
      <c r="B6" s="4">
        <v>114641.69500000002</v>
      </c>
    </row>
    <row r="7" spans="1:2" x14ac:dyDescent="0.3">
      <c r="A7" s="9" t="s">
        <v>14</v>
      </c>
      <c r="B7" s="4">
        <v>103200.26299999992</v>
      </c>
    </row>
    <row r="8" spans="1:2" x14ac:dyDescent="0.3">
      <c r="A8" s="9" t="s">
        <v>17</v>
      </c>
      <c r="B8" s="4">
        <v>48999.803999999967</v>
      </c>
    </row>
    <row r="9" spans="1:2" x14ac:dyDescent="0.3">
      <c r="A9" s="9" t="s">
        <v>43</v>
      </c>
      <c r="B9" s="4">
        <v>769515.85919999972</v>
      </c>
    </row>
    <row r="12" spans="1:2" x14ac:dyDescent="0.3">
      <c r="B12" s="14"/>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AF065-F75B-47A2-B6A2-39E7FCB046DB}">
  <dimension ref="A3:B7"/>
  <sheetViews>
    <sheetView workbookViewId="0">
      <selection activeCell="B22" sqref="B22"/>
    </sheetView>
  </sheetViews>
  <sheetFormatPr defaultRowHeight="14" x14ac:dyDescent="0.3"/>
  <cols>
    <col min="1" max="1" width="12.5" bestFit="1" customWidth="1"/>
    <col min="2" max="2" width="18.19921875" bestFit="1" customWidth="1"/>
  </cols>
  <sheetData>
    <row r="3" spans="1:2" x14ac:dyDescent="0.3">
      <c r="A3" s="8" t="s">
        <v>42</v>
      </c>
      <c r="B3" t="s">
        <v>44</v>
      </c>
    </row>
    <row r="4" spans="1:2" x14ac:dyDescent="0.3">
      <c r="A4" s="9" t="s">
        <v>10</v>
      </c>
      <c r="B4" s="10">
        <v>0.39661481066458038</v>
      </c>
    </row>
    <row r="5" spans="1:2" x14ac:dyDescent="0.3">
      <c r="A5" s="9" t="s">
        <v>18</v>
      </c>
      <c r="B5" s="10">
        <v>0.37129059262928327</v>
      </c>
    </row>
    <row r="6" spans="1:2" x14ac:dyDescent="0.3">
      <c r="A6" s="9" t="s">
        <v>36</v>
      </c>
      <c r="B6" s="10">
        <v>0.23209459670613636</v>
      </c>
    </row>
    <row r="7" spans="1:2" x14ac:dyDescent="0.3">
      <c r="A7" s="9" t="s">
        <v>43</v>
      </c>
      <c r="B7" s="1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EB4F1-AF47-43CD-9BA4-872956F01CC8}">
  <dimension ref="A3:C13"/>
  <sheetViews>
    <sheetView workbookViewId="0">
      <selection activeCell="B23" sqref="B23"/>
    </sheetView>
  </sheetViews>
  <sheetFormatPr defaultRowHeight="14" x14ac:dyDescent="0.3"/>
  <cols>
    <col min="1" max="1" width="12.5" bestFit="1" customWidth="1"/>
    <col min="2" max="2" width="18.19921875" bestFit="1" customWidth="1"/>
    <col min="3" max="3" width="14.3984375" customWidth="1"/>
  </cols>
  <sheetData>
    <row r="3" spans="1:3" x14ac:dyDescent="0.3">
      <c r="A3" s="8" t="s">
        <v>42</v>
      </c>
      <c r="B3" t="s">
        <v>44</v>
      </c>
    </row>
    <row r="4" spans="1:3" x14ac:dyDescent="0.3">
      <c r="A4" s="9" t="s">
        <v>22</v>
      </c>
      <c r="B4" s="4">
        <v>361715.02650000021</v>
      </c>
    </row>
    <row r="5" spans="1:3" x14ac:dyDescent="0.3">
      <c r="A5" s="9" t="s">
        <v>37</v>
      </c>
      <c r="B5" s="4">
        <v>239200.23550000007</v>
      </c>
    </row>
    <row r="6" spans="1:3" x14ac:dyDescent="0.3">
      <c r="A6" s="9" t="s">
        <v>11</v>
      </c>
      <c r="B6" s="4">
        <v>168600.59719999996</v>
      </c>
    </row>
    <row r="7" spans="1:3" x14ac:dyDescent="0.3">
      <c r="A7" s="9" t="s">
        <v>43</v>
      </c>
      <c r="B7" s="4">
        <v>769515.8592000003</v>
      </c>
    </row>
    <row r="10" spans="1:3" x14ac:dyDescent="0.3">
      <c r="B10" s="9"/>
      <c r="C10" s="4"/>
    </row>
    <row r="11" spans="1:3" x14ac:dyDescent="0.3">
      <c r="B11" s="9"/>
      <c r="C11" s="4"/>
    </row>
    <row r="12" spans="1:3" x14ac:dyDescent="0.3">
      <c r="B12" s="9"/>
      <c r="C12" s="4"/>
    </row>
    <row r="13" spans="1:3" x14ac:dyDescent="0.3">
      <c r="B13" s="13"/>
      <c r="C13" s="1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59E89-2F48-4030-A9CD-312D70558899}">
  <dimension ref="A3:B9"/>
  <sheetViews>
    <sheetView workbookViewId="0">
      <selection activeCell="E23" sqref="E23"/>
    </sheetView>
  </sheetViews>
  <sheetFormatPr defaultRowHeight="14" x14ac:dyDescent="0.3"/>
  <cols>
    <col min="1" max="1" width="12.5" bestFit="1" customWidth="1"/>
    <col min="2" max="2" width="18.19921875" bestFit="1" customWidth="1"/>
  </cols>
  <sheetData>
    <row r="3" spans="1:2" x14ac:dyDescent="0.3">
      <c r="A3" s="8" t="s">
        <v>42</v>
      </c>
      <c r="B3" t="s">
        <v>44</v>
      </c>
    </row>
    <row r="4" spans="1:2" x14ac:dyDescent="0.3">
      <c r="A4" s="9" t="s">
        <v>35</v>
      </c>
      <c r="B4" s="4">
        <v>241714.11570000008</v>
      </c>
    </row>
    <row r="5" spans="1:2" x14ac:dyDescent="0.3">
      <c r="A5" s="9" t="s">
        <v>38</v>
      </c>
      <c r="B5" s="4">
        <v>211201.04059999986</v>
      </c>
    </row>
    <row r="6" spans="1:2" x14ac:dyDescent="0.3">
      <c r="A6" s="9" t="s">
        <v>31</v>
      </c>
      <c r="B6" s="4">
        <v>136200.26649999997</v>
      </c>
    </row>
    <row r="7" spans="1:2" x14ac:dyDescent="0.3">
      <c r="A7" s="9" t="s">
        <v>23</v>
      </c>
      <c r="B7" s="4">
        <v>100600.13129999998</v>
      </c>
    </row>
    <row r="8" spans="1:2" x14ac:dyDescent="0.3">
      <c r="A8" s="9" t="s">
        <v>28</v>
      </c>
      <c r="B8" s="4">
        <v>79800.305099999983</v>
      </c>
    </row>
    <row r="9" spans="1:2" x14ac:dyDescent="0.3">
      <c r="A9" s="9" t="s">
        <v>43</v>
      </c>
      <c r="B9" s="4">
        <v>769515.85919999995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F3CD0-F896-4414-A074-8C74C8955036}">
  <dimension ref="A3:K15"/>
  <sheetViews>
    <sheetView workbookViewId="0">
      <selection activeCell="G25" sqref="G25"/>
    </sheetView>
  </sheetViews>
  <sheetFormatPr defaultRowHeight="14" x14ac:dyDescent="0.3"/>
  <cols>
    <col min="1" max="1" width="12.5" bestFit="1" customWidth="1"/>
    <col min="2" max="2" width="18.19921875" bestFit="1" customWidth="1"/>
  </cols>
  <sheetData>
    <row r="3" spans="1:11" x14ac:dyDescent="0.3">
      <c r="A3" s="8" t="s">
        <v>42</v>
      </c>
      <c r="B3" t="s">
        <v>44</v>
      </c>
    </row>
    <row r="4" spans="1:11" x14ac:dyDescent="0.3">
      <c r="A4" s="9" t="s">
        <v>20</v>
      </c>
      <c r="B4" s="4">
        <v>241714.11570000008</v>
      </c>
    </row>
    <row r="5" spans="1:11" x14ac:dyDescent="0.3">
      <c r="A5" s="9" t="s">
        <v>13</v>
      </c>
      <c r="B5" s="4">
        <v>211201.04059999986</v>
      </c>
    </row>
    <row r="6" spans="1:11" x14ac:dyDescent="0.3">
      <c r="A6" s="9" t="s">
        <v>16</v>
      </c>
      <c r="B6" s="4">
        <v>136200.26649999997</v>
      </c>
    </row>
    <row r="7" spans="1:11" x14ac:dyDescent="0.3">
      <c r="A7" s="9" t="s">
        <v>24</v>
      </c>
      <c r="B7" s="4">
        <v>100600.13129999998</v>
      </c>
    </row>
    <row r="8" spans="1:11" x14ac:dyDescent="0.3">
      <c r="A8" s="9" t="s">
        <v>27</v>
      </c>
      <c r="B8" s="4">
        <v>79800.305099999983</v>
      </c>
    </row>
    <row r="9" spans="1:11" x14ac:dyDescent="0.3">
      <c r="A9" s="9" t="s">
        <v>43</v>
      </c>
      <c r="B9" s="4">
        <v>769515.85919999983</v>
      </c>
    </row>
    <row r="15" spans="1:11" x14ac:dyDescent="0.3">
      <c r="K15" s="11"/>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0C37B-C39D-4962-9FE9-07F9B43F544B}">
  <dimension ref="A3:B6"/>
  <sheetViews>
    <sheetView topLeftCell="A3" workbookViewId="0">
      <selection activeCell="I26" sqref="I26"/>
    </sheetView>
  </sheetViews>
  <sheetFormatPr defaultRowHeight="14" x14ac:dyDescent="0.3"/>
  <cols>
    <col min="1" max="1" width="12.5" bestFit="1" customWidth="1"/>
    <col min="2" max="2" width="18.19921875" bestFit="1" customWidth="1"/>
  </cols>
  <sheetData>
    <row r="3" spans="1:2" x14ac:dyDescent="0.3">
      <c r="A3" s="8" t="s">
        <v>42</v>
      </c>
      <c r="B3" t="s">
        <v>44</v>
      </c>
    </row>
    <row r="4" spans="1:2" x14ac:dyDescent="0.3">
      <c r="A4" s="9" t="s">
        <v>45</v>
      </c>
      <c r="B4" s="10">
        <v>0.43158910167916675</v>
      </c>
    </row>
    <row r="5" spans="1:2" x14ac:dyDescent="0.3">
      <c r="A5" s="9" t="s">
        <v>46</v>
      </c>
      <c r="B5" s="10">
        <v>0.56841089832083336</v>
      </c>
    </row>
    <row r="6" spans="1:2" x14ac:dyDescent="0.3">
      <c r="A6" s="9" t="s">
        <v>43</v>
      </c>
      <c r="B6" s="10">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065B2-9F36-4EFB-B9E7-BE384EC26A55}">
  <dimension ref="A3:B11"/>
  <sheetViews>
    <sheetView topLeftCell="B1" workbookViewId="0">
      <selection activeCell="I24" sqref="I24"/>
    </sheetView>
  </sheetViews>
  <sheetFormatPr defaultRowHeight="14" x14ac:dyDescent="0.3"/>
  <cols>
    <col min="1" max="1" width="12.5" bestFit="1" customWidth="1"/>
    <col min="2" max="2" width="18.19921875" bestFit="1" customWidth="1"/>
  </cols>
  <sheetData>
    <row r="3" spans="1:2" x14ac:dyDescent="0.3">
      <c r="A3" s="8" t="s">
        <v>42</v>
      </c>
      <c r="B3" t="s">
        <v>44</v>
      </c>
    </row>
    <row r="4" spans="1:2" x14ac:dyDescent="0.3">
      <c r="A4" s="9" t="s">
        <v>47</v>
      </c>
      <c r="B4" s="4">
        <v>112039.55739999998</v>
      </c>
    </row>
    <row r="5" spans="1:2" x14ac:dyDescent="0.3">
      <c r="A5" s="9" t="s">
        <v>48</v>
      </c>
      <c r="B5" s="4">
        <v>114600.35209999997</v>
      </c>
    </row>
    <row r="6" spans="1:2" x14ac:dyDescent="0.3">
      <c r="A6" s="9" t="s">
        <v>49</v>
      </c>
      <c r="B6" s="4">
        <v>117800.20879999998</v>
      </c>
    </row>
    <row r="7" spans="1:2" x14ac:dyDescent="0.3">
      <c r="A7" s="9" t="s">
        <v>50</v>
      </c>
      <c r="B7" s="4">
        <v>116200.47279999999</v>
      </c>
    </row>
    <row r="8" spans="1:2" x14ac:dyDescent="0.3">
      <c r="A8" s="9" t="s">
        <v>51</v>
      </c>
      <c r="B8" s="4">
        <v>101800.28089999997</v>
      </c>
    </row>
    <row r="9" spans="1:2" x14ac:dyDescent="0.3">
      <c r="A9" s="9" t="s">
        <v>52</v>
      </c>
      <c r="B9" s="4">
        <v>101600.33069999999</v>
      </c>
    </row>
    <row r="10" spans="1:2" x14ac:dyDescent="0.3">
      <c r="A10" s="9" t="s">
        <v>53</v>
      </c>
      <c r="B10" s="4">
        <v>105474.65649999997</v>
      </c>
    </row>
    <row r="11" spans="1:2" x14ac:dyDescent="0.3">
      <c r="A11" s="9" t="s">
        <v>43</v>
      </c>
      <c r="B11" s="4">
        <v>769515.85919999972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DB29F-3362-4739-8DE7-05DC6D8A46E5}">
  <dimension ref="A1:L255"/>
  <sheetViews>
    <sheetView workbookViewId="0">
      <selection activeCell="F3" sqref="F3"/>
    </sheetView>
  </sheetViews>
  <sheetFormatPr defaultRowHeight="14" x14ac:dyDescent="0.3"/>
  <cols>
    <col min="1" max="1" width="9.8984375" customWidth="1"/>
    <col min="2" max="2" width="12.59765625" customWidth="1"/>
    <col min="3" max="3" width="17.69921875" bestFit="1" customWidth="1"/>
    <col min="4" max="4" width="8.796875" style="4"/>
    <col min="5" max="5" width="10" style="7" customWidth="1"/>
    <col min="6" max="6" width="14.09765625" style="4" bestFit="1" customWidth="1"/>
    <col min="7" max="7" width="15.09765625" customWidth="1"/>
    <col min="8" max="8" width="16.8984375" customWidth="1"/>
    <col min="9" max="9" width="13.8984375" customWidth="1"/>
    <col min="11" max="11" width="9.3984375" bestFit="1" customWidth="1"/>
  </cols>
  <sheetData>
    <row r="1" spans="1:12" x14ac:dyDescent="0.3">
      <c r="A1" s="2" t="s">
        <v>0</v>
      </c>
      <c r="B1" s="2" t="s">
        <v>1</v>
      </c>
      <c r="C1" s="2" t="s">
        <v>2</v>
      </c>
      <c r="D1" s="3" t="s">
        <v>3</v>
      </c>
      <c r="E1" s="6" t="s">
        <v>4</v>
      </c>
      <c r="F1" s="3" t="s">
        <v>41</v>
      </c>
      <c r="G1" s="2" t="s">
        <v>5</v>
      </c>
      <c r="H1" s="2" t="s">
        <v>6</v>
      </c>
      <c r="I1" s="2" t="s">
        <v>7</v>
      </c>
      <c r="J1" s="2" t="s">
        <v>8</v>
      </c>
      <c r="K1" s="2" t="s">
        <v>39</v>
      </c>
      <c r="L1" s="2" t="s">
        <v>40</v>
      </c>
    </row>
    <row r="2" spans="1:12" x14ac:dyDescent="0.3">
      <c r="A2">
        <v>10452</v>
      </c>
      <c r="B2" s="1">
        <v>44872</v>
      </c>
      <c r="C2" t="s">
        <v>9</v>
      </c>
      <c r="D2" s="4">
        <v>3.49</v>
      </c>
      <c r="E2" s="7">
        <v>573.07000000000005</v>
      </c>
      <c r="F2" s="4">
        <f t="shared" ref="F2:F65" si="0">PRODUCT(D2,E2)</f>
        <v>2000.0143000000003</v>
      </c>
      <c r="G2" t="s">
        <v>10</v>
      </c>
      <c r="H2" t="s">
        <v>11</v>
      </c>
      <c r="I2" t="s">
        <v>38</v>
      </c>
      <c r="J2" t="s">
        <v>13</v>
      </c>
      <c r="K2" t="str">
        <f>TEXT(sales[[#This Row],[Date]],"mmm")</f>
        <v>Nov</v>
      </c>
      <c r="L2" t="str">
        <f>TEXT(sales[[#This Row],[Date]],"ddd")</f>
        <v>Mon</v>
      </c>
    </row>
    <row r="3" spans="1:12" x14ac:dyDescent="0.3">
      <c r="A3">
        <v>10453</v>
      </c>
      <c r="B3" s="1">
        <v>44872</v>
      </c>
      <c r="C3" t="s">
        <v>14</v>
      </c>
      <c r="D3" s="4">
        <v>2.95</v>
      </c>
      <c r="E3" s="7">
        <v>745.76</v>
      </c>
      <c r="F3" s="4">
        <f t="shared" si="0"/>
        <v>2199.9920000000002</v>
      </c>
      <c r="G3" t="s">
        <v>10</v>
      </c>
      <c r="H3" t="s">
        <v>11</v>
      </c>
      <c r="I3" t="s">
        <v>31</v>
      </c>
      <c r="J3" t="s">
        <v>16</v>
      </c>
      <c r="K3" t="str">
        <f>TEXT(sales[[#This Row],[Date]],"mmm")</f>
        <v>Nov</v>
      </c>
      <c r="L3" t="str">
        <f>TEXT(sales[[#This Row],[Date]],"ddd")</f>
        <v>Mon</v>
      </c>
    </row>
    <row r="4" spans="1:12" x14ac:dyDescent="0.3">
      <c r="A4">
        <v>10454</v>
      </c>
      <c r="B4" s="1">
        <v>44872</v>
      </c>
      <c r="C4" t="s">
        <v>17</v>
      </c>
      <c r="D4" s="4">
        <v>4.99</v>
      </c>
      <c r="E4" s="7">
        <v>200.4</v>
      </c>
      <c r="F4" s="4">
        <f t="shared" si="0"/>
        <v>999.99600000000009</v>
      </c>
      <c r="G4" t="s">
        <v>18</v>
      </c>
      <c r="H4" t="s">
        <v>11</v>
      </c>
      <c r="I4" t="s">
        <v>35</v>
      </c>
      <c r="J4" t="s">
        <v>20</v>
      </c>
      <c r="K4" t="str">
        <f>TEXT(sales[[#This Row],[Date]],"mmm")</f>
        <v>Nov</v>
      </c>
      <c r="L4" t="str">
        <f>TEXT(sales[[#This Row],[Date]],"ddd")</f>
        <v>Mon</v>
      </c>
    </row>
    <row r="5" spans="1:12" x14ac:dyDescent="0.3">
      <c r="A5">
        <v>10455</v>
      </c>
      <c r="B5" s="1">
        <v>44873</v>
      </c>
      <c r="C5" t="s">
        <v>21</v>
      </c>
      <c r="D5" s="4">
        <v>12.99</v>
      </c>
      <c r="E5" s="7">
        <v>569.66999999999996</v>
      </c>
      <c r="F5" s="4">
        <f t="shared" si="0"/>
        <v>7400.0132999999996</v>
      </c>
      <c r="G5" t="s">
        <v>18</v>
      </c>
      <c r="H5" t="s">
        <v>22</v>
      </c>
      <c r="I5" t="s">
        <v>23</v>
      </c>
      <c r="J5" t="s">
        <v>24</v>
      </c>
      <c r="K5" t="str">
        <f>TEXT(sales[[#This Row],[Date]],"mmm")</f>
        <v>Nov</v>
      </c>
      <c r="L5" t="str">
        <f>TEXT(sales[[#This Row],[Date]],"ddd")</f>
        <v>Tue</v>
      </c>
    </row>
    <row r="6" spans="1:12" x14ac:dyDescent="0.3">
      <c r="A6">
        <v>10456</v>
      </c>
      <c r="B6" s="1">
        <v>44873</v>
      </c>
      <c r="C6" t="s">
        <v>25</v>
      </c>
      <c r="D6" s="4">
        <v>9.9499999999999993</v>
      </c>
      <c r="E6" s="7">
        <v>201.01</v>
      </c>
      <c r="F6" s="4">
        <f t="shared" si="0"/>
        <v>2000.0494999999999</v>
      </c>
      <c r="G6" t="s">
        <v>18</v>
      </c>
      <c r="H6" t="s">
        <v>22</v>
      </c>
      <c r="I6" t="s">
        <v>23</v>
      </c>
      <c r="J6" t="s">
        <v>24</v>
      </c>
      <c r="K6" t="str">
        <f>TEXT(sales[[#This Row],[Date]],"mmm")</f>
        <v>Nov</v>
      </c>
      <c r="L6" t="str">
        <f>TEXT(sales[[#This Row],[Date]],"ddd")</f>
        <v>Tue</v>
      </c>
    </row>
    <row r="7" spans="1:12" x14ac:dyDescent="0.3">
      <c r="A7">
        <v>10457</v>
      </c>
      <c r="B7" s="1">
        <v>44873</v>
      </c>
      <c r="C7" t="s">
        <v>9</v>
      </c>
      <c r="D7" s="4">
        <v>3.49</v>
      </c>
      <c r="E7" s="7">
        <v>573.07000000000005</v>
      </c>
      <c r="F7" s="4">
        <f t="shared" si="0"/>
        <v>2000.0143000000003</v>
      </c>
      <c r="G7" t="s">
        <v>18</v>
      </c>
      <c r="H7" t="s">
        <v>22</v>
      </c>
      <c r="I7" t="s">
        <v>28</v>
      </c>
      <c r="J7" t="s">
        <v>27</v>
      </c>
      <c r="K7" t="str">
        <f>TEXT(sales[[#This Row],[Date]],"mmm")</f>
        <v>Nov</v>
      </c>
      <c r="L7" t="str">
        <f>TEXT(sales[[#This Row],[Date]],"ddd")</f>
        <v>Tue</v>
      </c>
    </row>
    <row r="8" spans="1:12" x14ac:dyDescent="0.3">
      <c r="A8">
        <v>10459</v>
      </c>
      <c r="B8" s="1">
        <v>44873</v>
      </c>
      <c r="C8" t="s">
        <v>17</v>
      </c>
      <c r="D8" s="4">
        <v>4.99</v>
      </c>
      <c r="E8" s="7">
        <v>200.4</v>
      </c>
      <c r="F8" s="4">
        <f t="shared" si="0"/>
        <v>999.99600000000009</v>
      </c>
      <c r="G8" t="s">
        <v>18</v>
      </c>
      <c r="H8" t="s">
        <v>22</v>
      </c>
      <c r="I8" t="s">
        <v>23</v>
      </c>
      <c r="J8" t="s">
        <v>24</v>
      </c>
      <c r="K8" t="str">
        <f>TEXT(sales[[#This Row],[Date]],"mmm")</f>
        <v>Nov</v>
      </c>
      <c r="L8" t="str">
        <f>TEXT(sales[[#This Row],[Date]],"ddd")</f>
        <v>Tue</v>
      </c>
    </row>
    <row r="9" spans="1:12" x14ac:dyDescent="0.3">
      <c r="A9">
        <v>10460</v>
      </c>
      <c r="B9" s="1">
        <v>44874</v>
      </c>
      <c r="C9" t="s">
        <v>21</v>
      </c>
      <c r="D9" s="4">
        <v>12.99</v>
      </c>
      <c r="E9" s="7">
        <v>554.27</v>
      </c>
      <c r="F9" s="4">
        <f t="shared" si="0"/>
        <v>7199.9673000000003</v>
      </c>
      <c r="G9" t="s">
        <v>18</v>
      </c>
      <c r="H9" t="s">
        <v>22</v>
      </c>
      <c r="I9" t="s">
        <v>28</v>
      </c>
      <c r="J9" t="s">
        <v>27</v>
      </c>
      <c r="K9" t="str">
        <f>TEXT(sales[[#This Row],[Date]],"mmm")</f>
        <v>Nov</v>
      </c>
      <c r="L9" t="str">
        <f>TEXT(sales[[#This Row],[Date]],"ddd")</f>
        <v>Wed</v>
      </c>
    </row>
    <row r="10" spans="1:12" x14ac:dyDescent="0.3">
      <c r="A10">
        <v>10461</v>
      </c>
      <c r="B10" s="1">
        <v>44874</v>
      </c>
      <c r="C10" t="s">
        <v>25</v>
      </c>
      <c r="D10" s="4">
        <v>9.9499999999999993</v>
      </c>
      <c r="E10" s="7">
        <v>201.01</v>
      </c>
      <c r="F10" s="4">
        <f t="shared" si="0"/>
        <v>2000.0494999999999</v>
      </c>
      <c r="G10" t="s">
        <v>18</v>
      </c>
      <c r="H10" t="s">
        <v>22</v>
      </c>
      <c r="I10" t="s">
        <v>28</v>
      </c>
      <c r="J10" t="s">
        <v>27</v>
      </c>
      <c r="K10" t="str">
        <f>TEXT(sales[[#This Row],[Date]],"mmm")</f>
        <v>Nov</v>
      </c>
      <c r="L10" t="str">
        <f>TEXT(sales[[#This Row],[Date]],"ddd")</f>
        <v>Wed</v>
      </c>
    </row>
    <row r="11" spans="1:12" x14ac:dyDescent="0.3">
      <c r="A11">
        <v>10462</v>
      </c>
      <c r="B11" s="1">
        <v>44874</v>
      </c>
      <c r="C11" t="s">
        <v>9</v>
      </c>
      <c r="D11" s="4">
        <v>3.49</v>
      </c>
      <c r="E11" s="7">
        <v>573.07000000000005</v>
      </c>
      <c r="F11" s="4">
        <f t="shared" si="0"/>
        <v>2000.0143000000003</v>
      </c>
      <c r="G11" t="s">
        <v>18</v>
      </c>
      <c r="H11" t="s">
        <v>22</v>
      </c>
      <c r="I11" t="s">
        <v>28</v>
      </c>
      <c r="J11" t="s">
        <v>27</v>
      </c>
      <c r="K11" t="str">
        <f>TEXT(sales[[#This Row],[Date]],"mmm")</f>
        <v>Nov</v>
      </c>
      <c r="L11" t="str">
        <f>TEXT(sales[[#This Row],[Date]],"ddd")</f>
        <v>Wed</v>
      </c>
    </row>
    <row r="12" spans="1:12" x14ac:dyDescent="0.3">
      <c r="A12">
        <v>10463</v>
      </c>
      <c r="B12" s="1">
        <v>44874</v>
      </c>
      <c r="C12" t="s">
        <v>14</v>
      </c>
      <c r="D12" s="4">
        <v>2.95</v>
      </c>
      <c r="E12" s="7">
        <v>677.97</v>
      </c>
      <c r="F12" s="4">
        <f t="shared" si="0"/>
        <v>2000.0115000000003</v>
      </c>
      <c r="G12" t="s">
        <v>18</v>
      </c>
      <c r="H12" t="s">
        <v>22</v>
      </c>
      <c r="I12" t="s">
        <v>28</v>
      </c>
      <c r="J12" t="s">
        <v>27</v>
      </c>
      <c r="K12" t="str">
        <f>TEXT(sales[[#This Row],[Date]],"mmm")</f>
        <v>Nov</v>
      </c>
      <c r="L12" t="str">
        <f>TEXT(sales[[#This Row],[Date]],"ddd")</f>
        <v>Wed</v>
      </c>
    </row>
    <row r="13" spans="1:12" x14ac:dyDescent="0.3">
      <c r="A13">
        <v>10464</v>
      </c>
      <c r="B13" s="1">
        <v>44874</v>
      </c>
      <c r="C13" t="s">
        <v>17</v>
      </c>
      <c r="D13" s="4">
        <v>4.99</v>
      </c>
      <c r="E13" s="7">
        <v>200.4</v>
      </c>
      <c r="F13" s="4">
        <f t="shared" si="0"/>
        <v>999.99600000000009</v>
      </c>
      <c r="G13" t="s">
        <v>18</v>
      </c>
      <c r="H13" t="s">
        <v>22</v>
      </c>
      <c r="I13" t="s">
        <v>28</v>
      </c>
      <c r="J13" t="s">
        <v>27</v>
      </c>
      <c r="K13" t="str">
        <f>TEXT(sales[[#This Row],[Date]],"mmm")</f>
        <v>Nov</v>
      </c>
      <c r="L13" t="str">
        <f>TEXT(sales[[#This Row],[Date]],"ddd")</f>
        <v>Wed</v>
      </c>
    </row>
    <row r="14" spans="1:12" x14ac:dyDescent="0.3">
      <c r="A14">
        <v>10465</v>
      </c>
      <c r="B14" s="1">
        <v>44875</v>
      </c>
      <c r="C14" t="s">
        <v>21</v>
      </c>
      <c r="D14" s="4">
        <v>12.99</v>
      </c>
      <c r="E14" s="7">
        <v>554.27</v>
      </c>
      <c r="F14" s="4">
        <f t="shared" si="0"/>
        <v>7199.9673000000003</v>
      </c>
      <c r="G14" t="s">
        <v>18</v>
      </c>
      <c r="H14" t="s">
        <v>22</v>
      </c>
      <c r="I14" t="s">
        <v>31</v>
      </c>
      <c r="J14" t="s">
        <v>16</v>
      </c>
      <c r="K14" t="str">
        <f>TEXT(sales[[#This Row],[Date]],"mmm")</f>
        <v>Nov</v>
      </c>
      <c r="L14" t="str">
        <f>TEXT(sales[[#This Row],[Date]],"ddd")</f>
        <v>Thu</v>
      </c>
    </row>
    <row r="15" spans="1:12" x14ac:dyDescent="0.3">
      <c r="A15">
        <v>10466</v>
      </c>
      <c r="B15" s="1">
        <v>44875</v>
      </c>
      <c r="C15" t="s">
        <v>25</v>
      </c>
      <c r="D15" s="4">
        <v>9.9499999999999993</v>
      </c>
      <c r="E15" s="7">
        <v>201.01</v>
      </c>
      <c r="F15" s="4">
        <f t="shared" si="0"/>
        <v>2000.0494999999999</v>
      </c>
      <c r="G15" t="s">
        <v>18</v>
      </c>
      <c r="H15" t="s">
        <v>22</v>
      </c>
      <c r="I15" t="s">
        <v>31</v>
      </c>
      <c r="J15" t="s">
        <v>16</v>
      </c>
      <c r="K15" t="str">
        <f>TEXT(sales[[#This Row],[Date]],"mmm")</f>
        <v>Nov</v>
      </c>
      <c r="L15" t="str">
        <f>TEXT(sales[[#This Row],[Date]],"ddd")</f>
        <v>Thu</v>
      </c>
    </row>
    <row r="16" spans="1:12" x14ac:dyDescent="0.3">
      <c r="A16">
        <v>10467</v>
      </c>
      <c r="B16" s="1">
        <v>44875</v>
      </c>
      <c r="C16" t="s">
        <v>9</v>
      </c>
      <c r="D16" s="4">
        <v>3.49</v>
      </c>
      <c r="E16" s="7">
        <v>573.07000000000005</v>
      </c>
      <c r="F16" s="4">
        <f t="shared" si="0"/>
        <v>2000.0143000000003</v>
      </c>
      <c r="G16" t="s">
        <v>18</v>
      </c>
      <c r="H16" t="s">
        <v>22</v>
      </c>
      <c r="I16" t="s">
        <v>31</v>
      </c>
      <c r="J16" t="s">
        <v>16</v>
      </c>
      <c r="K16" t="str">
        <f>TEXT(sales[[#This Row],[Date]],"mmm")</f>
        <v>Nov</v>
      </c>
      <c r="L16" t="str">
        <f>TEXT(sales[[#This Row],[Date]],"ddd")</f>
        <v>Thu</v>
      </c>
    </row>
    <row r="17" spans="1:12" x14ac:dyDescent="0.3">
      <c r="A17">
        <v>10468</v>
      </c>
      <c r="B17" s="1">
        <v>44875</v>
      </c>
      <c r="C17" t="s">
        <v>14</v>
      </c>
      <c r="D17" s="4">
        <v>2.95</v>
      </c>
      <c r="E17" s="7">
        <v>677.97</v>
      </c>
      <c r="F17" s="4">
        <f t="shared" si="0"/>
        <v>2000.0115000000003</v>
      </c>
      <c r="G17" t="s">
        <v>18</v>
      </c>
      <c r="H17" t="s">
        <v>22</v>
      </c>
      <c r="I17" t="s">
        <v>31</v>
      </c>
      <c r="J17" t="s">
        <v>16</v>
      </c>
      <c r="K17" t="str">
        <f>TEXT(sales[[#This Row],[Date]],"mmm")</f>
        <v>Nov</v>
      </c>
      <c r="L17" t="str">
        <f>TEXT(sales[[#This Row],[Date]],"ddd")</f>
        <v>Thu</v>
      </c>
    </row>
    <row r="18" spans="1:12" x14ac:dyDescent="0.3">
      <c r="A18">
        <v>10470</v>
      </c>
      <c r="B18" s="1">
        <v>44876</v>
      </c>
      <c r="C18" t="s">
        <v>21</v>
      </c>
      <c r="D18" s="4">
        <v>12.99</v>
      </c>
      <c r="E18" s="7">
        <v>554.27</v>
      </c>
      <c r="F18" s="4">
        <f t="shared" si="0"/>
        <v>7199.9673000000003</v>
      </c>
      <c r="G18" t="s">
        <v>18</v>
      </c>
      <c r="H18" t="s">
        <v>22</v>
      </c>
      <c r="I18" t="s">
        <v>31</v>
      </c>
      <c r="J18" t="s">
        <v>16</v>
      </c>
      <c r="K18" t="str">
        <f>TEXT(sales[[#This Row],[Date]],"mmm")</f>
        <v>Nov</v>
      </c>
      <c r="L18" t="str">
        <f>TEXT(sales[[#This Row],[Date]],"ddd")</f>
        <v>Fri</v>
      </c>
    </row>
    <row r="19" spans="1:12" x14ac:dyDescent="0.3">
      <c r="A19">
        <v>10471</v>
      </c>
      <c r="B19" s="1">
        <v>44876</v>
      </c>
      <c r="C19" t="s">
        <v>25</v>
      </c>
      <c r="D19" s="4">
        <v>9.9499999999999993</v>
      </c>
      <c r="E19" s="7">
        <v>201.01</v>
      </c>
      <c r="F19" s="4">
        <f t="shared" si="0"/>
        <v>2000.0494999999999</v>
      </c>
      <c r="G19" t="s">
        <v>18</v>
      </c>
      <c r="H19" t="s">
        <v>22</v>
      </c>
      <c r="I19" t="s">
        <v>31</v>
      </c>
      <c r="J19" t="s">
        <v>16</v>
      </c>
      <c r="K19" t="str">
        <f>TEXT(sales[[#This Row],[Date]],"mmm")</f>
        <v>Nov</v>
      </c>
      <c r="L19" t="str">
        <f>TEXT(sales[[#This Row],[Date]],"ddd")</f>
        <v>Fri</v>
      </c>
    </row>
    <row r="20" spans="1:12" x14ac:dyDescent="0.3">
      <c r="A20">
        <v>10472</v>
      </c>
      <c r="B20" s="1">
        <v>44876</v>
      </c>
      <c r="C20" t="s">
        <v>9</v>
      </c>
      <c r="D20" s="4">
        <v>3.49</v>
      </c>
      <c r="E20" s="7">
        <v>630.37</v>
      </c>
      <c r="F20" s="4">
        <f t="shared" si="0"/>
        <v>2199.9913000000001</v>
      </c>
      <c r="G20" t="s">
        <v>18</v>
      </c>
      <c r="H20" t="s">
        <v>22</v>
      </c>
      <c r="I20" t="s">
        <v>31</v>
      </c>
      <c r="J20" t="s">
        <v>16</v>
      </c>
      <c r="K20" t="str">
        <f>TEXT(sales[[#This Row],[Date]],"mmm")</f>
        <v>Nov</v>
      </c>
      <c r="L20" t="str">
        <f>TEXT(sales[[#This Row],[Date]],"ddd")</f>
        <v>Fri</v>
      </c>
    </row>
    <row r="21" spans="1:12" x14ac:dyDescent="0.3">
      <c r="A21">
        <v>10473</v>
      </c>
      <c r="B21" s="1">
        <v>44876</v>
      </c>
      <c r="C21" t="s">
        <v>14</v>
      </c>
      <c r="D21" s="4">
        <v>2.95</v>
      </c>
      <c r="E21" s="7">
        <v>677.97</v>
      </c>
      <c r="F21" s="4">
        <f t="shared" si="0"/>
        <v>2000.0115000000003</v>
      </c>
      <c r="G21" t="s">
        <v>18</v>
      </c>
      <c r="H21" t="s">
        <v>22</v>
      </c>
      <c r="I21" t="s">
        <v>31</v>
      </c>
      <c r="J21" t="s">
        <v>16</v>
      </c>
      <c r="K21" t="str">
        <f>TEXT(sales[[#This Row],[Date]],"mmm")</f>
        <v>Nov</v>
      </c>
      <c r="L21" t="str">
        <f>TEXT(sales[[#This Row],[Date]],"ddd")</f>
        <v>Fri</v>
      </c>
    </row>
    <row r="22" spans="1:12" x14ac:dyDescent="0.3">
      <c r="A22">
        <v>10474</v>
      </c>
      <c r="B22" s="1">
        <v>44876</v>
      </c>
      <c r="C22" t="s">
        <v>17</v>
      </c>
      <c r="D22" s="4">
        <v>4.99</v>
      </c>
      <c r="E22" s="7">
        <v>200.4</v>
      </c>
      <c r="F22" s="4">
        <f t="shared" si="0"/>
        <v>999.99600000000009</v>
      </c>
      <c r="G22" t="s">
        <v>18</v>
      </c>
      <c r="H22" t="s">
        <v>22</v>
      </c>
      <c r="I22" t="s">
        <v>31</v>
      </c>
      <c r="J22" t="s">
        <v>16</v>
      </c>
      <c r="K22" t="str">
        <f>TEXT(sales[[#This Row],[Date]],"mmm")</f>
        <v>Nov</v>
      </c>
      <c r="L22" t="str">
        <f>TEXT(sales[[#This Row],[Date]],"ddd")</f>
        <v>Fri</v>
      </c>
    </row>
    <row r="23" spans="1:12" x14ac:dyDescent="0.3">
      <c r="A23">
        <v>10475</v>
      </c>
      <c r="B23" s="1">
        <v>44877</v>
      </c>
      <c r="C23" t="s">
        <v>21</v>
      </c>
      <c r="D23" s="4">
        <v>12.99</v>
      </c>
      <c r="E23" s="7">
        <v>523.48</v>
      </c>
      <c r="F23" s="4">
        <f t="shared" si="0"/>
        <v>6800.0052000000005</v>
      </c>
      <c r="G23" t="s">
        <v>18</v>
      </c>
      <c r="H23" t="s">
        <v>22</v>
      </c>
      <c r="I23" t="s">
        <v>31</v>
      </c>
      <c r="J23" t="s">
        <v>16</v>
      </c>
      <c r="K23" t="str">
        <f>TEXT(sales[[#This Row],[Date]],"mmm")</f>
        <v>Nov</v>
      </c>
      <c r="L23" t="str">
        <f>TEXT(sales[[#This Row],[Date]],"ddd")</f>
        <v>Sat</v>
      </c>
    </row>
    <row r="24" spans="1:12" x14ac:dyDescent="0.3">
      <c r="A24">
        <v>10476</v>
      </c>
      <c r="B24" s="1">
        <v>44877</v>
      </c>
      <c r="C24" t="s">
        <v>25</v>
      </c>
      <c r="D24" s="4">
        <v>9.9499999999999993</v>
      </c>
      <c r="E24" s="7">
        <v>201.01</v>
      </c>
      <c r="F24" s="4">
        <f t="shared" si="0"/>
        <v>2000.0494999999999</v>
      </c>
      <c r="G24" t="s">
        <v>18</v>
      </c>
      <c r="H24" t="s">
        <v>22</v>
      </c>
      <c r="I24" t="s">
        <v>31</v>
      </c>
      <c r="J24" t="s">
        <v>16</v>
      </c>
      <c r="K24" t="str">
        <f>TEXT(sales[[#This Row],[Date]],"mmm")</f>
        <v>Nov</v>
      </c>
      <c r="L24" t="str">
        <f>TEXT(sales[[#This Row],[Date]],"ddd")</f>
        <v>Sat</v>
      </c>
    </row>
    <row r="25" spans="1:12" x14ac:dyDescent="0.3">
      <c r="A25">
        <v>10477</v>
      </c>
      <c r="B25" s="1">
        <v>44877</v>
      </c>
      <c r="C25" t="s">
        <v>9</v>
      </c>
      <c r="D25" s="4">
        <v>3.49</v>
      </c>
      <c r="E25" s="7">
        <v>630.37</v>
      </c>
      <c r="F25" s="4">
        <f t="shared" si="0"/>
        <v>2199.9913000000001</v>
      </c>
      <c r="G25" t="s">
        <v>18</v>
      </c>
      <c r="H25" t="s">
        <v>22</v>
      </c>
      <c r="I25" t="s">
        <v>31</v>
      </c>
      <c r="J25" t="s">
        <v>16</v>
      </c>
      <c r="K25" t="str">
        <f>TEXT(sales[[#This Row],[Date]],"mmm")</f>
        <v>Nov</v>
      </c>
      <c r="L25" t="str">
        <f>TEXT(sales[[#This Row],[Date]],"ddd")</f>
        <v>Sat</v>
      </c>
    </row>
    <row r="26" spans="1:12" x14ac:dyDescent="0.3">
      <c r="A26">
        <v>10478</v>
      </c>
      <c r="B26" s="1">
        <v>44877</v>
      </c>
      <c r="C26" t="s">
        <v>14</v>
      </c>
      <c r="D26" s="4">
        <v>2.95</v>
      </c>
      <c r="E26" s="7">
        <v>677.97</v>
      </c>
      <c r="F26" s="4">
        <f t="shared" si="0"/>
        <v>2000.0115000000003</v>
      </c>
      <c r="G26" t="s">
        <v>18</v>
      </c>
      <c r="H26" t="s">
        <v>22</v>
      </c>
      <c r="I26" t="s">
        <v>31</v>
      </c>
      <c r="J26" t="s">
        <v>16</v>
      </c>
      <c r="K26" t="str">
        <f>TEXT(sales[[#This Row],[Date]],"mmm")</f>
        <v>Nov</v>
      </c>
      <c r="L26" t="str">
        <f>TEXT(sales[[#This Row],[Date]],"ddd")</f>
        <v>Sat</v>
      </c>
    </row>
    <row r="27" spans="1:12" x14ac:dyDescent="0.3">
      <c r="A27">
        <v>10479</v>
      </c>
      <c r="B27" s="1">
        <v>44877</v>
      </c>
      <c r="C27" t="s">
        <v>17</v>
      </c>
      <c r="D27" s="4">
        <v>4.99</v>
      </c>
      <c r="E27" s="7">
        <v>200.4</v>
      </c>
      <c r="F27" s="4">
        <f t="shared" si="0"/>
        <v>999.99600000000009</v>
      </c>
      <c r="G27" t="s">
        <v>18</v>
      </c>
      <c r="H27" t="s">
        <v>22</v>
      </c>
      <c r="I27" t="s">
        <v>31</v>
      </c>
      <c r="J27" t="s">
        <v>16</v>
      </c>
      <c r="K27" t="str">
        <f>TEXT(sales[[#This Row],[Date]],"mmm")</f>
        <v>Nov</v>
      </c>
      <c r="L27" t="str">
        <f>TEXT(sales[[#This Row],[Date]],"ddd")</f>
        <v>Sat</v>
      </c>
    </row>
    <row r="28" spans="1:12" x14ac:dyDescent="0.3">
      <c r="A28">
        <v>10480</v>
      </c>
      <c r="B28" s="1">
        <v>44878</v>
      </c>
      <c r="C28" t="s">
        <v>21</v>
      </c>
      <c r="D28" s="4">
        <v>12.99</v>
      </c>
      <c r="E28" s="7">
        <v>508.08</v>
      </c>
      <c r="F28" s="4">
        <f t="shared" si="0"/>
        <v>6599.9592000000002</v>
      </c>
      <c r="G28" t="s">
        <v>18</v>
      </c>
      <c r="H28" t="s">
        <v>22</v>
      </c>
      <c r="I28" t="s">
        <v>31</v>
      </c>
      <c r="J28" t="s">
        <v>16</v>
      </c>
      <c r="K28" t="str">
        <f>TEXT(sales[[#This Row],[Date]],"mmm")</f>
        <v>Nov</v>
      </c>
      <c r="L28" t="str">
        <f>TEXT(sales[[#This Row],[Date]],"ddd")</f>
        <v>Sun</v>
      </c>
    </row>
    <row r="29" spans="1:12" x14ac:dyDescent="0.3">
      <c r="A29">
        <v>10481</v>
      </c>
      <c r="B29" s="1">
        <v>44878</v>
      </c>
      <c r="C29" t="s">
        <v>25</v>
      </c>
      <c r="D29" s="4">
        <v>9.9499999999999993</v>
      </c>
      <c r="E29" s="7">
        <v>201.01</v>
      </c>
      <c r="F29" s="4">
        <f t="shared" si="0"/>
        <v>2000.0494999999999</v>
      </c>
      <c r="G29" t="s">
        <v>18</v>
      </c>
      <c r="H29" t="s">
        <v>22</v>
      </c>
      <c r="I29" t="s">
        <v>31</v>
      </c>
      <c r="J29" t="s">
        <v>16</v>
      </c>
      <c r="K29" t="str">
        <f>TEXT(sales[[#This Row],[Date]],"mmm")</f>
        <v>Nov</v>
      </c>
      <c r="L29" t="str">
        <f>TEXT(sales[[#This Row],[Date]],"ddd")</f>
        <v>Sun</v>
      </c>
    </row>
    <row r="30" spans="1:12" x14ac:dyDescent="0.3">
      <c r="A30">
        <v>10482</v>
      </c>
      <c r="B30" s="1">
        <v>44878</v>
      </c>
      <c r="C30" t="s">
        <v>9</v>
      </c>
      <c r="D30" s="4">
        <v>25.5</v>
      </c>
      <c r="E30" s="7">
        <v>630.37</v>
      </c>
      <c r="F30" s="4">
        <f t="shared" si="0"/>
        <v>16074.434999999999</v>
      </c>
      <c r="G30" t="s">
        <v>18</v>
      </c>
      <c r="H30" t="s">
        <v>22</v>
      </c>
      <c r="I30" t="s">
        <v>35</v>
      </c>
      <c r="J30" t="s">
        <v>20</v>
      </c>
      <c r="K30" t="str">
        <f>TEXT(sales[[#This Row],[Date]],"mmm")</f>
        <v>Nov</v>
      </c>
      <c r="L30" t="str">
        <f>TEXT(sales[[#This Row],[Date]],"ddd")</f>
        <v>Sun</v>
      </c>
    </row>
    <row r="31" spans="1:12" x14ac:dyDescent="0.3">
      <c r="A31">
        <v>10486</v>
      </c>
      <c r="B31" s="1">
        <v>44879</v>
      </c>
      <c r="C31" t="s">
        <v>25</v>
      </c>
      <c r="D31" s="4">
        <v>29.05</v>
      </c>
      <c r="E31" s="7">
        <v>201.01</v>
      </c>
      <c r="F31" s="4">
        <f t="shared" si="0"/>
        <v>5839.3405000000002</v>
      </c>
      <c r="G31" t="s">
        <v>18</v>
      </c>
      <c r="H31" t="s">
        <v>22</v>
      </c>
      <c r="I31" t="s">
        <v>35</v>
      </c>
      <c r="J31" t="s">
        <v>20</v>
      </c>
      <c r="K31" t="str">
        <f>TEXT(sales[[#This Row],[Date]],"mmm")</f>
        <v>Nov</v>
      </c>
      <c r="L31" t="str">
        <f>TEXT(sales[[#This Row],[Date]],"ddd")</f>
        <v>Mon</v>
      </c>
    </row>
    <row r="32" spans="1:12" x14ac:dyDescent="0.3">
      <c r="A32">
        <v>10487</v>
      </c>
      <c r="B32" s="1">
        <v>44879</v>
      </c>
      <c r="C32" t="s">
        <v>9</v>
      </c>
      <c r="D32" s="4">
        <v>3.49</v>
      </c>
      <c r="E32" s="7">
        <v>630.37</v>
      </c>
      <c r="F32" s="4">
        <f t="shared" si="0"/>
        <v>2199.9913000000001</v>
      </c>
      <c r="G32" t="s">
        <v>18</v>
      </c>
      <c r="H32" t="s">
        <v>22</v>
      </c>
      <c r="I32" t="s">
        <v>35</v>
      </c>
      <c r="J32" t="s">
        <v>20</v>
      </c>
      <c r="K32" t="str">
        <f>TEXT(sales[[#This Row],[Date]],"mmm")</f>
        <v>Nov</v>
      </c>
      <c r="L32" t="str">
        <f>TEXT(sales[[#This Row],[Date]],"ddd")</f>
        <v>Mon</v>
      </c>
    </row>
    <row r="33" spans="1:12" x14ac:dyDescent="0.3">
      <c r="A33">
        <v>10488</v>
      </c>
      <c r="B33" s="1">
        <v>44879</v>
      </c>
      <c r="C33" t="s">
        <v>14</v>
      </c>
      <c r="D33" s="4">
        <v>2.95</v>
      </c>
      <c r="E33" s="7">
        <v>677.97</v>
      </c>
      <c r="F33" s="4">
        <f t="shared" si="0"/>
        <v>2000.0115000000003</v>
      </c>
      <c r="G33" t="s">
        <v>18</v>
      </c>
      <c r="H33" t="s">
        <v>22</v>
      </c>
      <c r="I33" t="s">
        <v>35</v>
      </c>
      <c r="J33" t="s">
        <v>20</v>
      </c>
      <c r="K33" t="str">
        <f>TEXT(sales[[#This Row],[Date]],"mmm")</f>
        <v>Nov</v>
      </c>
      <c r="L33" t="str">
        <f>TEXT(sales[[#This Row],[Date]],"ddd")</f>
        <v>Mon</v>
      </c>
    </row>
    <row r="34" spans="1:12" x14ac:dyDescent="0.3">
      <c r="A34">
        <v>10489</v>
      </c>
      <c r="B34" s="1">
        <v>44879</v>
      </c>
      <c r="C34" t="s">
        <v>17</v>
      </c>
      <c r="D34" s="4">
        <v>4.99</v>
      </c>
      <c r="E34" s="7">
        <v>200.4</v>
      </c>
      <c r="F34" s="4">
        <f t="shared" si="0"/>
        <v>999.99600000000009</v>
      </c>
      <c r="G34" t="s">
        <v>18</v>
      </c>
      <c r="H34" t="s">
        <v>22</v>
      </c>
      <c r="I34" t="s">
        <v>31</v>
      </c>
      <c r="J34" t="s">
        <v>16</v>
      </c>
      <c r="K34" t="str">
        <f>TEXT(sales[[#This Row],[Date]],"mmm")</f>
        <v>Nov</v>
      </c>
      <c r="L34" t="str">
        <f>TEXT(sales[[#This Row],[Date]],"ddd")</f>
        <v>Mon</v>
      </c>
    </row>
    <row r="35" spans="1:12" x14ac:dyDescent="0.3">
      <c r="A35">
        <v>10490</v>
      </c>
      <c r="B35" s="1">
        <v>44880</v>
      </c>
      <c r="C35" t="s">
        <v>21</v>
      </c>
      <c r="D35" s="4">
        <v>12.99</v>
      </c>
      <c r="E35" s="7">
        <v>508.08</v>
      </c>
      <c r="F35" s="4">
        <f t="shared" si="0"/>
        <v>6599.9592000000002</v>
      </c>
      <c r="G35" t="s">
        <v>18</v>
      </c>
      <c r="H35" t="s">
        <v>22</v>
      </c>
      <c r="I35" t="s">
        <v>31</v>
      </c>
      <c r="J35" t="s">
        <v>16</v>
      </c>
      <c r="K35" t="str">
        <f>TEXT(sales[[#This Row],[Date]],"mmm")</f>
        <v>Nov</v>
      </c>
      <c r="L35" t="str">
        <f>TEXT(sales[[#This Row],[Date]],"ddd")</f>
        <v>Tue</v>
      </c>
    </row>
    <row r="36" spans="1:12" x14ac:dyDescent="0.3">
      <c r="A36">
        <v>10491</v>
      </c>
      <c r="B36" s="1">
        <v>44880</v>
      </c>
      <c r="C36" t="s">
        <v>25</v>
      </c>
      <c r="D36" s="4">
        <v>9.9499999999999993</v>
      </c>
      <c r="E36" s="7">
        <v>201.01</v>
      </c>
      <c r="F36" s="4">
        <f t="shared" si="0"/>
        <v>2000.0494999999999</v>
      </c>
      <c r="G36" t="s">
        <v>18</v>
      </c>
      <c r="H36" t="s">
        <v>22</v>
      </c>
      <c r="I36" t="s">
        <v>31</v>
      </c>
      <c r="J36" t="s">
        <v>16</v>
      </c>
      <c r="K36" t="str">
        <f>TEXT(sales[[#This Row],[Date]],"mmm")</f>
        <v>Nov</v>
      </c>
      <c r="L36" t="str">
        <f>TEXT(sales[[#This Row],[Date]],"ddd")</f>
        <v>Tue</v>
      </c>
    </row>
    <row r="37" spans="1:12" x14ac:dyDescent="0.3">
      <c r="A37">
        <v>10492</v>
      </c>
      <c r="B37" s="1">
        <v>44880</v>
      </c>
      <c r="C37" t="s">
        <v>9</v>
      </c>
      <c r="D37" s="4">
        <v>3.49</v>
      </c>
      <c r="E37" s="7">
        <v>573.07000000000005</v>
      </c>
      <c r="F37" s="4">
        <f t="shared" si="0"/>
        <v>2000.0143000000003</v>
      </c>
      <c r="G37" t="s">
        <v>18</v>
      </c>
      <c r="H37" t="s">
        <v>22</v>
      </c>
      <c r="I37" t="s">
        <v>31</v>
      </c>
      <c r="J37" t="s">
        <v>16</v>
      </c>
      <c r="K37" t="str">
        <f>TEXT(sales[[#This Row],[Date]],"mmm")</f>
        <v>Nov</v>
      </c>
      <c r="L37" t="str">
        <f>TEXT(sales[[#This Row],[Date]],"ddd")</f>
        <v>Tue</v>
      </c>
    </row>
    <row r="38" spans="1:12" x14ac:dyDescent="0.3">
      <c r="A38">
        <v>10493</v>
      </c>
      <c r="B38" s="1">
        <v>44880</v>
      </c>
      <c r="C38" t="s">
        <v>14</v>
      </c>
      <c r="D38" s="4">
        <v>2.95</v>
      </c>
      <c r="E38" s="7">
        <v>677.97</v>
      </c>
      <c r="F38" s="4">
        <f t="shared" si="0"/>
        <v>2000.0115000000003</v>
      </c>
      <c r="G38" t="s">
        <v>18</v>
      </c>
      <c r="H38" t="s">
        <v>22</v>
      </c>
      <c r="I38" t="s">
        <v>31</v>
      </c>
      <c r="J38" t="s">
        <v>16</v>
      </c>
      <c r="K38" t="str">
        <f>TEXT(sales[[#This Row],[Date]],"mmm")</f>
        <v>Nov</v>
      </c>
      <c r="L38" t="str">
        <f>TEXT(sales[[#This Row],[Date]],"ddd")</f>
        <v>Tue</v>
      </c>
    </row>
    <row r="39" spans="1:12" x14ac:dyDescent="0.3">
      <c r="A39">
        <v>10494</v>
      </c>
      <c r="B39" s="1">
        <v>44880</v>
      </c>
      <c r="C39" t="s">
        <v>17</v>
      </c>
      <c r="D39" s="4">
        <v>4.99</v>
      </c>
      <c r="E39" s="7">
        <v>200.4</v>
      </c>
      <c r="F39" s="4">
        <f t="shared" si="0"/>
        <v>999.99600000000009</v>
      </c>
      <c r="G39" t="s">
        <v>18</v>
      </c>
      <c r="H39" t="s">
        <v>22</v>
      </c>
      <c r="I39" t="s">
        <v>31</v>
      </c>
      <c r="J39" t="s">
        <v>16</v>
      </c>
      <c r="K39" t="str">
        <f>TEXT(sales[[#This Row],[Date]],"mmm")</f>
        <v>Nov</v>
      </c>
      <c r="L39" t="str">
        <f>TEXT(sales[[#This Row],[Date]],"ddd")</f>
        <v>Tue</v>
      </c>
    </row>
    <row r="40" spans="1:12" x14ac:dyDescent="0.3">
      <c r="A40">
        <v>10495</v>
      </c>
      <c r="B40" s="1">
        <v>44881</v>
      </c>
      <c r="C40" t="s">
        <v>21</v>
      </c>
      <c r="D40" s="4">
        <v>12.99</v>
      </c>
      <c r="E40" s="7">
        <v>508.08</v>
      </c>
      <c r="F40" s="4">
        <f t="shared" si="0"/>
        <v>6599.9592000000002</v>
      </c>
      <c r="G40" t="s">
        <v>18</v>
      </c>
      <c r="H40" t="s">
        <v>22</v>
      </c>
      <c r="I40" t="s">
        <v>31</v>
      </c>
      <c r="J40" t="s">
        <v>16</v>
      </c>
      <c r="K40" t="str">
        <f>TEXT(sales[[#This Row],[Date]],"mmm")</f>
        <v>Nov</v>
      </c>
      <c r="L40" t="str">
        <f>TEXT(sales[[#This Row],[Date]],"ddd")</f>
        <v>Wed</v>
      </c>
    </row>
    <row r="41" spans="1:12" x14ac:dyDescent="0.3">
      <c r="A41">
        <v>10496</v>
      </c>
      <c r="B41" s="1">
        <v>44881</v>
      </c>
      <c r="C41" t="s">
        <v>25</v>
      </c>
      <c r="D41" s="4">
        <v>9.9499999999999993</v>
      </c>
      <c r="E41" s="7">
        <v>201.01</v>
      </c>
      <c r="F41" s="4">
        <f t="shared" si="0"/>
        <v>2000.0494999999999</v>
      </c>
      <c r="G41" t="s">
        <v>18</v>
      </c>
      <c r="H41" t="s">
        <v>22</v>
      </c>
      <c r="I41" t="s">
        <v>31</v>
      </c>
      <c r="J41" t="s">
        <v>16</v>
      </c>
      <c r="K41" t="str">
        <f>TEXT(sales[[#This Row],[Date]],"mmm")</f>
        <v>Nov</v>
      </c>
      <c r="L41" t="str">
        <f>TEXT(sales[[#This Row],[Date]],"ddd")</f>
        <v>Wed</v>
      </c>
    </row>
    <row r="42" spans="1:12" x14ac:dyDescent="0.3">
      <c r="A42">
        <v>10497</v>
      </c>
      <c r="B42" s="1">
        <v>44881</v>
      </c>
      <c r="C42" t="s">
        <v>9</v>
      </c>
      <c r="D42" s="4">
        <v>3.49</v>
      </c>
      <c r="E42" s="7">
        <v>573.07000000000005</v>
      </c>
      <c r="F42" s="4">
        <f t="shared" si="0"/>
        <v>2000.0143000000003</v>
      </c>
      <c r="G42" t="s">
        <v>18</v>
      </c>
      <c r="H42" t="s">
        <v>22</v>
      </c>
      <c r="I42" t="s">
        <v>31</v>
      </c>
      <c r="J42" t="s">
        <v>16</v>
      </c>
      <c r="K42" t="str">
        <f>TEXT(sales[[#This Row],[Date]],"mmm")</f>
        <v>Nov</v>
      </c>
      <c r="L42" t="str">
        <f>TEXT(sales[[#This Row],[Date]],"ddd")</f>
        <v>Wed</v>
      </c>
    </row>
    <row r="43" spans="1:12" x14ac:dyDescent="0.3">
      <c r="A43">
        <v>10498</v>
      </c>
      <c r="B43" s="1">
        <v>44881</v>
      </c>
      <c r="C43" t="s">
        <v>14</v>
      </c>
      <c r="D43" s="4">
        <v>2.95</v>
      </c>
      <c r="E43" s="7">
        <v>677.97</v>
      </c>
      <c r="F43" s="4">
        <f t="shared" si="0"/>
        <v>2000.0115000000003</v>
      </c>
      <c r="G43" t="s">
        <v>36</v>
      </c>
      <c r="H43" t="s">
        <v>22</v>
      </c>
      <c r="I43" t="s">
        <v>31</v>
      </c>
      <c r="J43" t="s">
        <v>16</v>
      </c>
      <c r="K43" t="str">
        <f>TEXT(sales[[#This Row],[Date]],"mmm")</f>
        <v>Nov</v>
      </c>
      <c r="L43" t="str">
        <f>TEXT(sales[[#This Row],[Date]],"ddd")</f>
        <v>Wed</v>
      </c>
    </row>
    <row r="44" spans="1:12" x14ac:dyDescent="0.3">
      <c r="A44">
        <v>10499</v>
      </c>
      <c r="B44" s="1">
        <v>44881</v>
      </c>
      <c r="C44" t="s">
        <v>17</v>
      </c>
      <c r="D44" s="4">
        <v>4.99</v>
      </c>
      <c r="E44" s="7">
        <v>200.4</v>
      </c>
      <c r="F44" s="4">
        <f t="shared" si="0"/>
        <v>999.99600000000009</v>
      </c>
      <c r="G44" t="s">
        <v>36</v>
      </c>
      <c r="H44" t="s">
        <v>22</v>
      </c>
      <c r="I44" t="s">
        <v>31</v>
      </c>
      <c r="J44" t="s">
        <v>16</v>
      </c>
      <c r="K44" t="str">
        <f>TEXT(sales[[#This Row],[Date]],"mmm")</f>
        <v>Nov</v>
      </c>
      <c r="L44" t="str">
        <f>TEXT(sales[[#This Row],[Date]],"ddd")</f>
        <v>Wed</v>
      </c>
    </row>
    <row r="45" spans="1:12" x14ac:dyDescent="0.3">
      <c r="A45">
        <v>10500</v>
      </c>
      <c r="B45" s="1">
        <v>44882</v>
      </c>
      <c r="C45" t="s">
        <v>21</v>
      </c>
      <c r="D45" s="4">
        <v>12.99</v>
      </c>
      <c r="E45" s="7">
        <v>523.48</v>
      </c>
      <c r="F45" s="4">
        <f t="shared" si="0"/>
        <v>6800.0052000000005</v>
      </c>
      <c r="G45" t="s">
        <v>36</v>
      </c>
      <c r="H45" t="s">
        <v>22</v>
      </c>
      <c r="I45" t="s">
        <v>31</v>
      </c>
      <c r="J45" t="s">
        <v>16</v>
      </c>
      <c r="K45" t="str">
        <f>TEXT(sales[[#This Row],[Date]],"mmm")</f>
        <v>Nov</v>
      </c>
      <c r="L45" t="str">
        <f>TEXT(sales[[#This Row],[Date]],"ddd")</f>
        <v>Thu</v>
      </c>
    </row>
    <row r="46" spans="1:12" x14ac:dyDescent="0.3">
      <c r="A46">
        <v>10501</v>
      </c>
      <c r="B46" s="1">
        <v>44882</v>
      </c>
      <c r="C46" t="s">
        <v>25</v>
      </c>
      <c r="D46" s="4">
        <v>9.9499999999999993</v>
      </c>
      <c r="E46" s="7">
        <v>201.01</v>
      </c>
      <c r="F46" s="4">
        <f t="shared" si="0"/>
        <v>2000.0494999999999</v>
      </c>
      <c r="G46" t="s">
        <v>36</v>
      </c>
      <c r="H46" t="s">
        <v>22</v>
      </c>
      <c r="I46" t="s">
        <v>31</v>
      </c>
      <c r="J46" t="s">
        <v>16</v>
      </c>
      <c r="K46" t="str">
        <f>TEXT(sales[[#This Row],[Date]],"mmm")</f>
        <v>Nov</v>
      </c>
      <c r="L46" t="str">
        <f>TEXT(sales[[#This Row],[Date]],"ddd")</f>
        <v>Thu</v>
      </c>
    </row>
    <row r="47" spans="1:12" x14ac:dyDescent="0.3">
      <c r="A47">
        <v>10502</v>
      </c>
      <c r="B47" s="1">
        <v>44882</v>
      </c>
      <c r="C47" t="s">
        <v>9</v>
      </c>
      <c r="D47" s="4">
        <v>3.49</v>
      </c>
      <c r="E47" s="7">
        <v>630.37</v>
      </c>
      <c r="F47" s="4">
        <f t="shared" si="0"/>
        <v>2199.9913000000001</v>
      </c>
      <c r="G47" t="s">
        <v>36</v>
      </c>
      <c r="H47" t="s">
        <v>22</v>
      </c>
      <c r="I47" t="s">
        <v>31</v>
      </c>
      <c r="J47" t="s">
        <v>16</v>
      </c>
      <c r="K47" t="str">
        <f>TEXT(sales[[#This Row],[Date]],"mmm")</f>
        <v>Nov</v>
      </c>
      <c r="L47" t="str">
        <f>TEXT(sales[[#This Row],[Date]],"ddd")</f>
        <v>Thu</v>
      </c>
    </row>
    <row r="48" spans="1:12" x14ac:dyDescent="0.3">
      <c r="A48">
        <v>10503</v>
      </c>
      <c r="B48" s="1">
        <v>44882</v>
      </c>
      <c r="C48" t="s">
        <v>14</v>
      </c>
      <c r="D48" s="4">
        <v>2.95</v>
      </c>
      <c r="E48" s="7">
        <v>677.97</v>
      </c>
      <c r="F48" s="4">
        <f t="shared" si="0"/>
        <v>2000.0115000000003</v>
      </c>
      <c r="G48" t="s">
        <v>36</v>
      </c>
      <c r="H48" t="s">
        <v>22</v>
      </c>
      <c r="I48" t="s">
        <v>31</v>
      </c>
      <c r="J48" t="s">
        <v>16</v>
      </c>
      <c r="K48" t="str">
        <f>TEXT(sales[[#This Row],[Date]],"mmm")</f>
        <v>Nov</v>
      </c>
      <c r="L48" t="str">
        <f>TEXT(sales[[#This Row],[Date]],"ddd")</f>
        <v>Thu</v>
      </c>
    </row>
    <row r="49" spans="1:12" x14ac:dyDescent="0.3">
      <c r="A49">
        <v>10504</v>
      </c>
      <c r="B49" s="1">
        <v>44882</v>
      </c>
      <c r="C49" t="s">
        <v>17</v>
      </c>
      <c r="D49" s="4">
        <v>4.99</v>
      </c>
      <c r="E49" s="7">
        <v>200.4</v>
      </c>
      <c r="F49" s="4">
        <f t="shared" si="0"/>
        <v>999.99600000000009</v>
      </c>
      <c r="G49" t="s">
        <v>36</v>
      </c>
      <c r="H49" t="s">
        <v>22</v>
      </c>
      <c r="I49" t="s">
        <v>31</v>
      </c>
      <c r="J49" t="s">
        <v>16</v>
      </c>
      <c r="K49" t="str">
        <f>TEXT(sales[[#This Row],[Date]],"mmm")</f>
        <v>Nov</v>
      </c>
      <c r="L49" t="str">
        <f>TEXT(sales[[#This Row],[Date]],"ddd")</f>
        <v>Thu</v>
      </c>
    </row>
    <row r="50" spans="1:12" x14ac:dyDescent="0.3">
      <c r="A50">
        <v>10505</v>
      </c>
      <c r="B50" s="1">
        <v>44883</v>
      </c>
      <c r="C50" t="s">
        <v>21</v>
      </c>
      <c r="D50" s="4">
        <v>12.99</v>
      </c>
      <c r="E50" s="7">
        <v>538.88</v>
      </c>
      <c r="F50" s="4">
        <f t="shared" si="0"/>
        <v>7000.0511999999999</v>
      </c>
      <c r="G50" t="s">
        <v>36</v>
      </c>
      <c r="H50" t="s">
        <v>22</v>
      </c>
      <c r="I50" t="s">
        <v>31</v>
      </c>
      <c r="J50" t="s">
        <v>16</v>
      </c>
      <c r="K50" t="str">
        <f>TEXT(sales[[#This Row],[Date]],"mmm")</f>
        <v>Nov</v>
      </c>
      <c r="L50" t="str">
        <f>TEXT(sales[[#This Row],[Date]],"ddd")</f>
        <v>Fri</v>
      </c>
    </row>
    <row r="51" spans="1:12" x14ac:dyDescent="0.3">
      <c r="A51">
        <v>10506</v>
      </c>
      <c r="B51" s="1">
        <v>44883</v>
      </c>
      <c r="C51" t="s">
        <v>25</v>
      </c>
      <c r="D51" s="4">
        <v>9.9499999999999993</v>
      </c>
      <c r="E51" s="7">
        <v>201.01</v>
      </c>
      <c r="F51" s="4">
        <f t="shared" si="0"/>
        <v>2000.0494999999999</v>
      </c>
      <c r="G51" t="s">
        <v>36</v>
      </c>
      <c r="H51" t="s">
        <v>22</v>
      </c>
      <c r="I51" t="s">
        <v>31</v>
      </c>
      <c r="J51" t="s">
        <v>16</v>
      </c>
      <c r="K51" t="str">
        <f>TEXT(sales[[#This Row],[Date]],"mmm")</f>
        <v>Nov</v>
      </c>
      <c r="L51" t="str">
        <f>TEXT(sales[[#This Row],[Date]],"ddd")</f>
        <v>Fri</v>
      </c>
    </row>
    <row r="52" spans="1:12" x14ac:dyDescent="0.3">
      <c r="A52">
        <v>10507</v>
      </c>
      <c r="B52" s="1">
        <v>44883</v>
      </c>
      <c r="C52" t="s">
        <v>9</v>
      </c>
      <c r="D52" s="4">
        <v>3.49</v>
      </c>
      <c r="E52" s="7">
        <v>687.68</v>
      </c>
      <c r="F52" s="4">
        <f t="shared" si="0"/>
        <v>2400.0032000000001</v>
      </c>
      <c r="G52" t="s">
        <v>36</v>
      </c>
      <c r="H52" t="s">
        <v>22</v>
      </c>
      <c r="I52" t="s">
        <v>31</v>
      </c>
      <c r="J52" t="s">
        <v>16</v>
      </c>
      <c r="K52" t="str">
        <f>TEXT(sales[[#This Row],[Date]],"mmm")</f>
        <v>Nov</v>
      </c>
      <c r="L52" t="str">
        <f>TEXT(sales[[#This Row],[Date]],"ddd")</f>
        <v>Fri</v>
      </c>
    </row>
    <row r="53" spans="1:12" x14ac:dyDescent="0.3">
      <c r="A53">
        <v>10508</v>
      </c>
      <c r="B53" s="1">
        <v>44883</v>
      </c>
      <c r="C53" t="s">
        <v>14</v>
      </c>
      <c r="D53" s="4">
        <v>2.95</v>
      </c>
      <c r="E53" s="7">
        <v>677.97</v>
      </c>
      <c r="F53" s="4">
        <f t="shared" si="0"/>
        <v>2000.0115000000003</v>
      </c>
      <c r="G53" t="s">
        <v>36</v>
      </c>
      <c r="H53" t="s">
        <v>22</v>
      </c>
      <c r="I53" t="s">
        <v>31</v>
      </c>
      <c r="J53" t="s">
        <v>16</v>
      </c>
      <c r="K53" t="str">
        <f>TEXT(sales[[#This Row],[Date]],"mmm")</f>
        <v>Nov</v>
      </c>
      <c r="L53" t="str">
        <f>TEXT(sales[[#This Row],[Date]],"ddd")</f>
        <v>Fri</v>
      </c>
    </row>
    <row r="54" spans="1:12" x14ac:dyDescent="0.3">
      <c r="A54">
        <v>10509</v>
      </c>
      <c r="B54" s="1">
        <v>44883</v>
      </c>
      <c r="C54" t="s">
        <v>17</v>
      </c>
      <c r="D54" s="4">
        <v>4.99</v>
      </c>
      <c r="E54" s="7">
        <v>200.4</v>
      </c>
      <c r="F54" s="4">
        <f t="shared" si="0"/>
        <v>999.99600000000009</v>
      </c>
      <c r="G54" t="s">
        <v>36</v>
      </c>
      <c r="H54" t="s">
        <v>22</v>
      </c>
      <c r="I54" t="s">
        <v>31</v>
      </c>
      <c r="J54" t="s">
        <v>16</v>
      </c>
      <c r="K54" t="str">
        <f>TEXT(sales[[#This Row],[Date]],"mmm")</f>
        <v>Nov</v>
      </c>
      <c r="L54" t="str">
        <f>TEXT(sales[[#This Row],[Date]],"ddd")</f>
        <v>Fri</v>
      </c>
    </row>
    <row r="55" spans="1:12" x14ac:dyDescent="0.3">
      <c r="A55">
        <v>10510</v>
      </c>
      <c r="B55" s="1">
        <v>44884</v>
      </c>
      <c r="C55" t="s">
        <v>21</v>
      </c>
      <c r="D55" s="4">
        <v>12.99</v>
      </c>
      <c r="E55" s="7">
        <v>508.08</v>
      </c>
      <c r="F55" s="4">
        <f t="shared" si="0"/>
        <v>6599.9592000000002</v>
      </c>
      <c r="G55" t="s">
        <v>36</v>
      </c>
      <c r="H55" t="s">
        <v>22</v>
      </c>
      <c r="I55" t="s">
        <v>31</v>
      </c>
      <c r="J55" t="s">
        <v>16</v>
      </c>
      <c r="K55" t="str">
        <f>TEXT(sales[[#This Row],[Date]],"mmm")</f>
        <v>Nov</v>
      </c>
      <c r="L55" t="str">
        <f>TEXT(sales[[#This Row],[Date]],"ddd")</f>
        <v>Sat</v>
      </c>
    </row>
    <row r="56" spans="1:12" x14ac:dyDescent="0.3">
      <c r="A56">
        <v>10511</v>
      </c>
      <c r="B56" s="1">
        <v>44884</v>
      </c>
      <c r="C56" t="s">
        <v>25</v>
      </c>
      <c r="D56" s="4">
        <v>9.9499999999999993</v>
      </c>
      <c r="E56" s="7">
        <v>201.01</v>
      </c>
      <c r="F56" s="4">
        <f t="shared" si="0"/>
        <v>2000.0494999999999</v>
      </c>
      <c r="G56" t="s">
        <v>36</v>
      </c>
      <c r="H56" t="s">
        <v>22</v>
      </c>
      <c r="I56" t="s">
        <v>35</v>
      </c>
      <c r="J56" t="s">
        <v>20</v>
      </c>
      <c r="K56" t="str">
        <f>TEXT(sales[[#This Row],[Date]],"mmm")</f>
        <v>Nov</v>
      </c>
      <c r="L56" t="str">
        <f>TEXT(sales[[#This Row],[Date]],"ddd")</f>
        <v>Sat</v>
      </c>
    </row>
    <row r="57" spans="1:12" x14ac:dyDescent="0.3">
      <c r="A57">
        <v>10512</v>
      </c>
      <c r="B57" s="1">
        <v>44884</v>
      </c>
      <c r="C57" t="s">
        <v>9</v>
      </c>
      <c r="D57" s="4">
        <v>3.49</v>
      </c>
      <c r="E57" s="7">
        <v>687.68</v>
      </c>
      <c r="F57" s="4">
        <f t="shared" si="0"/>
        <v>2400.0032000000001</v>
      </c>
      <c r="G57" t="s">
        <v>36</v>
      </c>
      <c r="H57" t="s">
        <v>22</v>
      </c>
      <c r="I57" t="s">
        <v>35</v>
      </c>
      <c r="J57" t="s">
        <v>20</v>
      </c>
      <c r="K57" t="str">
        <f>TEXT(sales[[#This Row],[Date]],"mmm")</f>
        <v>Nov</v>
      </c>
      <c r="L57" t="str">
        <f>TEXT(sales[[#This Row],[Date]],"ddd")</f>
        <v>Sat</v>
      </c>
    </row>
    <row r="58" spans="1:12" x14ac:dyDescent="0.3">
      <c r="A58">
        <v>10513</v>
      </c>
      <c r="B58" s="1">
        <v>44884</v>
      </c>
      <c r="C58" t="s">
        <v>14</v>
      </c>
      <c r="D58" s="4">
        <v>2.95</v>
      </c>
      <c r="E58" s="7">
        <v>677.97</v>
      </c>
      <c r="F58" s="4">
        <f t="shared" si="0"/>
        <v>2000.0115000000003</v>
      </c>
      <c r="G58" t="s">
        <v>36</v>
      </c>
      <c r="H58" t="s">
        <v>37</v>
      </c>
      <c r="I58" t="s">
        <v>35</v>
      </c>
      <c r="J58" t="s">
        <v>20</v>
      </c>
      <c r="K58" t="str">
        <f>TEXT(sales[[#This Row],[Date]],"mmm")</f>
        <v>Nov</v>
      </c>
      <c r="L58" t="str">
        <f>TEXT(sales[[#This Row],[Date]],"ddd")</f>
        <v>Sat</v>
      </c>
    </row>
    <row r="59" spans="1:12" x14ac:dyDescent="0.3">
      <c r="A59">
        <v>10514</v>
      </c>
      <c r="B59" s="1">
        <v>44884</v>
      </c>
      <c r="C59" t="s">
        <v>17</v>
      </c>
      <c r="D59" s="4">
        <v>4.99</v>
      </c>
      <c r="E59" s="7">
        <v>200.4</v>
      </c>
      <c r="F59" s="4">
        <f t="shared" si="0"/>
        <v>999.99600000000009</v>
      </c>
      <c r="G59" t="s">
        <v>36</v>
      </c>
      <c r="H59" t="s">
        <v>37</v>
      </c>
      <c r="I59" t="s">
        <v>35</v>
      </c>
      <c r="J59" t="s">
        <v>20</v>
      </c>
      <c r="K59" t="str">
        <f>TEXT(sales[[#This Row],[Date]],"mmm")</f>
        <v>Nov</v>
      </c>
      <c r="L59" t="str">
        <f>TEXT(sales[[#This Row],[Date]],"ddd")</f>
        <v>Sat</v>
      </c>
    </row>
    <row r="60" spans="1:12" x14ac:dyDescent="0.3">
      <c r="A60">
        <v>10515</v>
      </c>
      <c r="B60" s="1">
        <v>44885</v>
      </c>
      <c r="C60" t="s">
        <v>21</v>
      </c>
      <c r="D60" s="4">
        <v>12.99</v>
      </c>
      <c r="E60" s="7">
        <v>477.29</v>
      </c>
      <c r="F60" s="4">
        <f t="shared" si="0"/>
        <v>6199.9971000000005</v>
      </c>
      <c r="G60" t="s">
        <v>36</v>
      </c>
      <c r="H60" t="s">
        <v>37</v>
      </c>
      <c r="I60" t="s">
        <v>35</v>
      </c>
      <c r="J60" t="s">
        <v>20</v>
      </c>
      <c r="K60" t="str">
        <f>TEXT(sales[[#This Row],[Date]],"mmm")</f>
        <v>Nov</v>
      </c>
      <c r="L60" t="str">
        <f>TEXT(sales[[#This Row],[Date]],"ddd")</f>
        <v>Sun</v>
      </c>
    </row>
    <row r="61" spans="1:12" x14ac:dyDescent="0.3">
      <c r="A61">
        <v>10516</v>
      </c>
      <c r="B61" s="1">
        <v>44885</v>
      </c>
      <c r="C61" t="s">
        <v>25</v>
      </c>
      <c r="D61" s="4">
        <v>9.9499999999999993</v>
      </c>
      <c r="E61" s="7">
        <v>201.01</v>
      </c>
      <c r="F61" s="4">
        <f t="shared" si="0"/>
        <v>2000.0494999999999</v>
      </c>
      <c r="G61" t="s">
        <v>36</v>
      </c>
      <c r="H61" t="s">
        <v>37</v>
      </c>
      <c r="I61" t="s">
        <v>35</v>
      </c>
      <c r="J61" t="s">
        <v>20</v>
      </c>
      <c r="K61" t="str">
        <f>TEXT(sales[[#This Row],[Date]],"mmm")</f>
        <v>Nov</v>
      </c>
      <c r="L61" t="str">
        <f>TEXT(sales[[#This Row],[Date]],"ddd")</f>
        <v>Sun</v>
      </c>
    </row>
    <row r="62" spans="1:12" x14ac:dyDescent="0.3">
      <c r="A62">
        <v>10483</v>
      </c>
      <c r="B62" s="1">
        <v>44878</v>
      </c>
      <c r="C62" t="s">
        <v>14</v>
      </c>
      <c r="D62" s="4">
        <v>2.95</v>
      </c>
      <c r="E62" s="7">
        <v>677.97</v>
      </c>
      <c r="F62" s="4">
        <f t="shared" si="0"/>
        <v>2000.0115000000003</v>
      </c>
      <c r="G62" t="s">
        <v>18</v>
      </c>
      <c r="H62" t="s">
        <v>22</v>
      </c>
      <c r="I62" t="s">
        <v>35</v>
      </c>
      <c r="J62" t="s">
        <v>20</v>
      </c>
      <c r="K62" t="str">
        <f>TEXT(sales[[#This Row],[Date]],"mmm")</f>
        <v>Nov</v>
      </c>
      <c r="L62" t="str">
        <f>TEXT(sales[[#This Row],[Date]],"ddd")</f>
        <v>Sun</v>
      </c>
    </row>
    <row r="63" spans="1:12" x14ac:dyDescent="0.3">
      <c r="A63">
        <v>10484</v>
      </c>
      <c r="B63" s="1">
        <v>44878</v>
      </c>
      <c r="C63" t="s">
        <v>17</v>
      </c>
      <c r="D63" s="4">
        <v>4.99</v>
      </c>
      <c r="E63" s="7">
        <v>200.4</v>
      </c>
      <c r="F63" s="4">
        <f t="shared" si="0"/>
        <v>999.99600000000009</v>
      </c>
      <c r="G63" t="s">
        <v>18</v>
      </c>
      <c r="H63" t="s">
        <v>22</v>
      </c>
      <c r="I63" t="s">
        <v>35</v>
      </c>
      <c r="J63" t="s">
        <v>20</v>
      </c>
      <c r="K63" t="str">
        <f>TEXT(sales[[#This Row],[Date]],"mmm")</f>
        <v>Nov</v>
      </c>
      <c r="L63" t="str">
        <f>TEXT(sales[[#This Row],[Date]],"ddd")</f>
        <v>Sun</v>
      </c>
    </row>
    <row r="64" spans="1:12" x14ac:dyDescent="0.3">
      <c r="A64">
        <v>10485</v>
      </c>
      <c r="B64" s="1">
        <v>44879</v>
      </c>
      <c r="C64" t="s">
        <v>21</v>
      </c>
      <c r="D64" s="4">
        <v>12.99</v>
      </c>
      <c r="E64" s="7">
        <v>523.48</v>
      </c>
      <c r="F64" s="4">
        <f t="shared" si="0"/>
        <v>6800.0052000000005</v>
      </c>
      <c r="G64" t="s">
        <v>18</v>
      </c>
      <c r="H64" t="s">
        <v>22</v>
      </c>
      <c r="I64" t="s">
        <v>35</v>
      </c>
      <c r="J64" t="s">
        <v>20</v>
      </c>
      <c r="K64" t="str">
        <f>TEXT(sales[[#This Row],[Date]],"mmm")</f>
        <v>Nov</v>
      </c>
      <c r="L64" t="str">
        <f>TEXT(sales[[#This Row],[Date]],"ddd")</f>
        <v>Mon</v>
      </c>
    </row>
    <row r="65" spans="1:12" x14ac:dyDescent="0.3">
      <c r="A65">
        <v>10520</v>
      </c>
      <c r="B65" s="1">
        <v>44886</v>
      </c>
      <c r="C65" t="s">
        <v>21</v>
      </c>
      <c r="D65" s="4">
        <v>12.99</v>
      </c>
      <c r="E65" s="7">
        <v>492.69</v>
      </c>
      <c r="F65" s="4">
        <f t="shared" si="0"/>
        <v>6400.0430999999999</v>
      </c>
      <c r="G65" t="s">
        <v>36</v>
      </c>
      <c r="H65" t="s">
        <v>37</v>
      </c>
      <c r="I65" t="s">
        <v>28</v>
      </c>
      <c r="J65" t="s">
        <v>27</v>
      </c>
      <c r="K65" t="str">
        <f>TEXT(sales[[#This Row],[Date]],"mmm")</f>
        <v>Nov</v>
      </c>
      <c r="L65" t="str">
        <f>TEXT(sales[[#This Row],[Date]],"ddd")</f>
        <v>Mon</v>
      </c>
    </row>
    <row r="66" spans="1:12" x14ac:dyDescent="0.3">
      <c r="A66">
        <v>10521</v>
      </c>
      <c r="B66" s="1">
        <v>44886</v>
      </c>
      <c r="C66" t="s">
        <v>25</v>
      </c>
      <c r="D66" s="4">
        <v>9.9499999999999993</v>
      </c>
      <c r="E66" s="7">
        <v>201.01</v>
      </c>
      <c r="F66" s="4">
        <f t="shared" ref="F66:F129" si="1">PRODUCT(D66,E66)</f>
        <v>2000.0494999999999</v>
      </c>
      <c r="G66" t="s">
        <v>36</v>
      </c>
      <c r="H66" t="s">
        <v>37</v>
      </c>
      <c r="I66" t="s">
        <v>28</v>
      </c>
      <c r="J66" t="s">
        <v>27</v>
      </c>
      <c r="K66" t="str">
        <f>TEXT(sales[[#This Row],[Date]],"mmm")</f>
        <v>Nov</v>
      </c>
      <c r="L66" t="str">
        <f>TEXT(sales[[#This Row],[Date]],"ddd")</f>
        <v>Mon</v>
      </c>
    </row>
    <row r="67" spans="1:12" x14ac:dyDescent="0.3">
      <c r="A67">
        <v>10522</v>
      </c>
      <c r="B67" s="1">
        <v>44886</v>
      </c>
      <c r="C67" t="s">
        <v>9</v>
      </c>
      <c r="D67" s="4">
        <v>3.49</v>
      </c>
      <c r="E67" s="7">
        <v>687.68</v>
      </c>
      <c r="F67" s="4">
        <f t="shared" si="1"/>
        <v>2400.0032000000001</v>
      </c>
      <c r="G67" t="s">
        <v>36</v>
      </c>
      <c r="H67" t="s">
        <v>37</v>
      </c>
      <c r="I67" t="s">
        <v>28</v>
      </c>
      <c r="J67" t="s">
        <v>27</v>
      </c>
      <c r="K67" t="str">
        <f>TEXT(sales[[#This Row],[Date]],"mmm")</f>
        <v>Nov</v>
      </c>
      <c r="L67" t="str">
        <f>TEXT(sales[[#This Row],[Date]],"ddd")</f>
        <v>Mon</v>
      </c>
    </row>
    <row r="68" spans="1:12" x14ac:dyDescent="0.3">
      <c r="A68">
        <v>10523</v>
      </c>
      <c r="B68" s="1">
        <v>44886</v>
      </c>
      <c r="C68" t="s">
        <v>14</v>
      </c>
      <c r="D68" s="4">
        <v>2.95</v>
      </c>
      <c r="E68" s="7">
        <v>745.76</v>
      </c>
      <c r="F68" s="4">
        <f t="shared" si="1"/>
        <v>2199.9920000000002</v>
      </c>
      <c r="G68" t="s">
        <v>36</v>
      </c>
      <c r="H68" t="s">
        <v>37</v>
      </c>
      <c r="I68" t="s">
        <v>28</v>
      </c>
      <c r="J68" t="s">
        <v>27</v>
      </c>
      <c r="K68" t="str">
        <f>TEXT(sales[[#This Row],[Date]],"mmm")</f>
        <v>Nov</v>
      </c>
      <c r="L68" t="str">
        <f>TEXT(sales[[#This Row],[Date]],"ddd")</f>
        <v>Mon</v>
      </c>
    </row>
    <row r="69" spans="1:12" x14ac:dyDescent="0.3">
      <c r="A69">
        <v>10524</v>
      </c>
      <c r="B69" s="1">
        <v>44886</v>
      </c>
      <c r="C69" t="s">
        <v>17</v>
      </c>
      <c r="D69" s="4">
        <v>4.99</v>
      </c>
      <c r="E69" s="7">
        <v>200.4</v>
      </c>
      <c r="F69" s="4">
        <f t="shared" si="1"/>
        <v>999.99600000000009</v>
      </c>
      <c r="G69" t="s">
        <v>36</v>
      </c>
      <c r="H69" t="s">
        <v>37</v>
      </c>
      <c r="I69" t="s">
        <v>28</v>
      </c>
      <c r="J69" t="s">
        <v>27</v>
      </c>
      <c r="K69" t="str">
        <f>TEXT(sales[[#This Row],[Date]],"mmm")</f>
        <v>Nov</v>
      </c>
      <c r="L69" t="str">
        <f>TEXT(sales[[#This Row],[Date]],"ddd")</f>
        <v>Mon</v>
      </c>
    </row>
    <row r="70" spans="1:12" x14ac:dyDescent="0.3">
      <c r="A70">
        <v>10525</v>
      </c>
      <c r="B70" s="1">
        <v>44887</v>
      </c>
      <c r="C70" t="s">
        <v>21</v>
      </c>
      <c r="D70" s="4">
        <v>12.99</v>
      </c>
      <c r="E70" s="7">
        <v>461.89</v>
      </c>
      <c r="F70" s="4">
        <f t="shared" si="1"/>
        <v>5999.9511000000002</v>
      </c>
      <c r="G70" t="s">
        <v>36</v>
      </c>
      <c r="H70" t="s">
        <v>37</v>
      </c>
      <c r="I70" t="s">
        <v>28</v>
      </c>
      <c r="J70" t="s">
        <v>27</v>
      </c>
      <c r="K70" t="str">
        <f>TEXT(sales[[#This Row],[Date]],"mmm")</f>
        <v>Nov</v>
      </c>
      <c r="L70" t="str">
        <f>TEXT(sales[[#This Row],[Date]],"ddd")</f>
        <v>Tue</v>
      </c>
    </row>
    <row r="71" spans="1:12" x14ac:dyDescent="0.3">
      <c r="A71">
        <v>10526</v>
      </c>
      <c r="B71" s="1">
        <v>44887</v>
      </c>
      <c r="C71" t="s">
        <v>25</v>
      </c>
      <c r="D71" s="4">
        <v>9.9499999999999993</v>
      </c>
      <c r="E71" s="7">
        <v>201.01</v>
      </c>
      <c r="F71" s="4">
        <f t="shared" si="1"/>
        <v>2000.0494999999999</v>
      </c>
      <c r="G71" t="s">
        <v>36</v>
      </c>
      <c r="H71" t="s">
        <v>37</v>
      </c>
      <c r="I71" t="s">
        <v>28</v>
      </c>
      <c r="J71" t="s">
        <v>27</v>
      </c>
      <c r="K71" t="str">
        <f>TEXT(sales[[#This Row],[Date]],"mmm")</f>
        <v>Nov</v>
      </c>
      <c r="L71" t="str">
        <f>TEXT(sales[[#This Row],[Date]],"ddd")</f>
        <v>Tue</v>
      </c>
    </row>
    <row r="72" spans="1:12" x14ac:dyDescent="0.3">
      <c r="A72">
        <v>10527</v>
      </c>
      <c r="B72" s="1">
        <v>44887</v>
      </c>
      <c r="C72" t="s">
        <v>9</v>
      </c>
      <c r="D72" s="4">
        <v>3.49</v>
      </c>
      <c r="E72" s="7">
        <v>687.68</v>
      </c>
      <c r="F72" s="4">
        <f t="shared" si="1"/>
        <v>2400.0032000000001</v>
      </c>
      <c r="G72" t="s">
        <v>36</v>
      </c>
      <c r="H72" t="s">
        <v>37</v>
      </c>
      <c r="I72" t="s">
        <v>28</v>
      </c>
      <c r="J72" t="s">
        <v>27</v>
      </c>
      <c r="K72" t="str">
        <f>TEXT(sales[[#This Row],[Date]],"mmm")</f>
        <v>Nov</v>
      </c>
      <c r="L72" t="str">
        <f>TEXT(sales[[#This Row],[Date]],"ddd")</f>
        <v>Tue</v>
      </c>
    </row>
    <row r="73" spans="1:12" x14ac:dyDescent="0.3">
      <c r="A73">
        <v>10528</v>
      </c>
      <c r="B73" s="1">
        <v>44887</v>
      </c>
      <c r="C73" t="s">
        <v>14</v>
      </c>
      <c r="D73" s="4">
        <v>2.95</v>
      </c>
      <c r="E73" s="7">
        <v>745.76</v>
      </c>
      <c r="F73" s="4">
        <f t="shared" si="1"/>
        <v>2199.9920000000002</v>
      </c>
      <c r="G73" t="s">
        <v>36</v>
      </c>
      <c r="H73" t="s">
        <v>37</v>
      </c>
      <c r="I73" t="s">
        <v>28</v>
      </c>
      <c r="J73" t="s">
        <v>27</v>
      </c>
      <c r="K73" t="str">
        <f>TEXT(sales[[#This Row],[Date]],"mmm")</f>
        <v>Nov</v>
      </c>
      <c r="L73" t="str">
        <f>TEXT(sales[[#This Row],[Date]],"ddd")</f>
        <v>Tue</v>
      </c>
    </row>
    <row r="74" spans="1:12" x14ac:dyDescent="0.3">
      <c r="A74">
        <v>10529</v>
      </c>
      <c r="B74" s="1">
        <v>44887</v>
      </c>
      <c r="C74" t="s">
        <v>17</v>
      </c>
      <c r="D74" s="4">
        <v>4.99</v>
      </c>
      <c r="E74" s="7">
        <v>200.4</v>
      </c>
      <c r="F74" s="4">
        <f t="shared" si="1"/>
        <v>999.99600000000009</v>
      </c>
      <c r="G74" t="s">
        <v>36</v>
      </c>
      <c r="H74" t="s">
        <v>37</v>
      </c>
      <c r="I74" t="s">
        <v>28</v>
      </c>
      <c r="J74" t="s">
        <v>27</v>
      </c>
      <c r="K74" t="str">
        <f>TEXT(sales[[#This Row],[Date]],"mmm")</f>
        <v>Nov</v>
      </c>
      <c r="L74" t="str">
        <f>TEXT(sales[[#This Row],[Date]],"ddd")</f>
        <v>Tue</v>
      </c>
    </row>
    <row r="75" spans="1:12" x14ac:dyDescent="0.3">
      <c r="A75">
        <v>10530</v>
      </c>
      <c r="B75" s="1">
        <v>44888</v>
      </c>
      <c r="C75" t="s">
        <v>21</v>
      </c>
      <c r="D75" s="4">
        <v>12.99</v>
      </c>
      <c r="E75" s="7">
        <v>477.29</v>
      </c>
      <c r="F75" s="4">
        <f t="shared" si="1"/>
        <v>6199.9971000000005</v>
      </c>
      <c r="G75" t="s">
        <v>36</v>
      </c>
      <c r="H75" t="s">
        <v>37</v>
      </c>
      <c r="I75" t="s">
        <v>28</v>
      </c>
      <c r="J75" t="s">
        <v>27</v>
      </c>
      <c r="K75" t="str">
        <f>TEXT(sales[[#This Row],[Date]],"mmm")</f>
        <v>Nov</v>
      </c>
      <c r="L75" t="str">
        <f>TEXT(sales[[#This Row],[Date]],"ddd")</f>
        <v>Wed</v>
      </c>
    </row>
    <row r="76" spans="1:12" x14ac:dyDescent="0.3">
      <c r="A76">
        <v>10531</v>
      </c>
      <c r="B76" s="1">
        <v>44888</v>
      </c>
      <c r="C76" t="s">
        <v>25</v>
      </c>
      <c r="D76" s="4">
        <v>9.9499999999999993</v>
      </c>
      <c r="E76" s="7">
        <v>201.01</v>
      </c>
      <c r="F76" s="4">
        <f t="shared" si="1"/>
        <v>2000.0494999999999</v>
      </c>
      <c r="G76" t="s">
        <v>36</v>
      </c>
      <c r="H76" t="s">
        <v>37</v>
      </c>
      <c r="I76" t="s">
        <v>28</v>
      </c>
      <c r="J76" t="s">
        <v>27</v>
      </c>
      <c r="K76" t="str">
        <f>TEXT(sales[[#This Row],[Date]],"mmm")</f>
        <v>Nov</v>
      </c>
      <c r="L76" t="str">
        <f>TEXT(sales[[#This Row],[Date]],"ddd")</f>
        <v>Wed</v>
      </c>
    </row>
    <row r="77" spans="1:12" x14ac:dyDescent="0.3">
      <c r="A77">
        <v>10532</v>
      </c>
      <c r="B77" s="1">
        <v>44888</v>
      </c>
      <c r="C77" t="s">
        <v>9</v>
      </c>
      <c r="D77" s="4">
        <v>3.49</v>
      </c>
      <c r="E77" s="7">
        <v>687.68</v>
      </c>
      <c r="F77" s="4">
        <f t="shared" si="1"/>
        <v>2400.0032000000001</v>
      </c>
      <c r="G77" t="s">
        <v>36</v>
      </c>
      <c r="H77" t="s">
        <v>37</v>
      </c>
      <c r="I77" t="s">
        <v>35</v>
      </c>
      <c r="J77" t="s">
        <v>20</v>
      </c>
      <c r="K77" t="str">
        <f>TEXT(sales[[#This Row],[Date]],"mmm")</f>
        <v>Nov</v>
      </c>
      <c r="L77" t="str">
        <f>TEXT(sales[[#This Row],[Date]],"ddd")</f>
        <v>Wed</v>
      </c>
    </row>
    <row r="78" spans="1:12" x14ac:dyDescent="0.3">
      <c r="A78">
        <v>10533</v>
      </c>
      <c r="B78" s="1">
        <v>44888</v>
      </c>
      <c r="C78" t="s">
        <v>14</v>
      </c>
      <c r="D78" s="4">
        <v>2.95</v>
      </c>
      <c r="E78" s="7">
        <v>745.76</v>
      </c>
      <c r="F78" s="4">
        <f t="shared" si="1"/>
        <v>2199.9920000000002</v>
      </c>
      <c r="G78" t="s">
        <v>36</v>
      </c>
      <c r="H78" t="s">
        <v>37</v>
      </c>
      <c r="I78" t="s">
        <v>35</v>
      </c>
      <c r="J78" t="s">
        <v>20</v>
      </c>
      <c r="K78" t="str">
        <f>TEXT(sales[[#This Row],[Date]],"mmm")</f>
        <v>Nov</v>
      </c>
      <c r="L78" t="str">
        <f>TEXT(sales[[#This Row],[Date]],"ddd")</f>
        <v>Wed</v>
      </c>
    </row>
    <row r="79" spans="1:12" x14ac:dyDescent="0.3">
      <c r="A79">
        <v>10534</v>
      </c>
      <c r="B79" s="1">
        <v>44888</v>
      </c>
      <c r="C79" t="s">
        <v>17</v>
      </c>
      <c r="D79" s="4">
        <v>4.99</v>
      </c>
      <c r="E79" s="7">
        <v>200.4</v>
      </c>
      <c r="F79" s="4">
        <f t="shared" si="1"/>
        <v>999.99600000000009</v>
      </c>
      <c r="G79" t="s">
        <v>36</v>
      </c>
      <c r="H79" t="s">
        <v>37</v>
      </c>
      <c r="I79" t="s">
        <v>31</v>
      </c>
      <c r="J79" t="s">
        <v>16</v>
      </c>
      <c r="K79" t="str">
        <f>TEXT(sales[[#This Row],[Date]],"mmm")</f>
        <v>Nov</v>
      </c>
      <c r="L79" t="str">
        <f>TEXT(sales[[#This Row],[Date]],"ddd")</f>
        <v>Wed</v>
      </c>
    </row>
    <row r="80" spans="1:12" x14ac:dyDescent="0.3">
      <c r="A80">
        <v>10535</v>
      </c>
      <c r="B80" s="1">
        <v>44889</v>
      </c>
      <c r="C80" t="s">
        <v>21</v>
      </c>
      <c r="D80" s="4">
        <v>12.99</v>
      </c>
      <c r="E80" s="7">
        <v>477.29</v>
      </c>
      <c r="F80" s="4">
        <f t="shared" si="1"/>
        <v>6199.9971000000005</v>
      </c>
      <c r="G80" t="s">
        <v>36</v>
      </c>
      <c r="H80" t="s">
        <v>22</v>
      </c>
      <c r="I80" t="s">
        <v>31</v>
      </c>
      <c r="J80" t="s">
        <v>16</v>
      </c>
      <c r="K80" t="str">
        <f>TEXT(sales[[#This Row],[Date]],"mmm")</f>
        <v>Nov</v>
      </c>
      <c r="L80" t="str">
        <f>TEXT(sales[[#This Row],[Date]],"ddd")</f>
        <v>Thu</v>
      </c>
    </row>
    <row r="81" spans="1:12" x14ac:dyDescent="0.3">
      <c r="A81">
        <v>10536</v>
      </c>
      <c r="B81" s="1">
        <v>44889</v>
      </c>
      <c r="C81" t="s">
        <v>25</v>
      </c>
      <c r="D81" s="4">
        <v>9.9499999999999993</v>
      </c>
      <c r="E81" s="7">
        <v>201.01</v>
      </c>
      <c r="F81" s="4">
        <f t="shared" si="1"/>
        <v>2000.0494999999999</v>
      </c>
      <c r="G81" t="s">
        <v>36</v>
      </c>
      <c r="H81" t="s">
        <v>22</v>
      </c>
      <c r="I81" t="s">
        <v>31</v>
      </c>
      <c r="J81" t="s">
        <v>16</v>
      </c>
      <c r="K81" t="str">
        <f>TEXT(sales[[#This Row],[Date]],"mmm")</f>
        <v>Nov</v>
      </c>
      <c r="L81" t="str">
        <f>TEXT(sales[[#This Row],[Date]],"ddd")</f>
        <v>Thu</v>
      </c>
    </row>
    <row r="82" spans="1:12" x14ac:dyDescent="0.3">
      <c r="A82">
        <v>10540</v>
      </c>
      <c r="B82" s="1">
        <v>44890</v>
      </c>
      <c r="C82" t="s">
        <v>21</v>
      </c>
      <c r="D82" s="4">
        <v>12.99</v>
      </c>
      <c r="E82" s="7">
        <v>461.89</v>
      </c>
      <c r="F82" s="4">
        <f t="shared" si="1"/>
        <v>5999.9511000000002</v>
      </c>
      <c r="G82" t="s">
        <v>36</v>
      </c>
      <c r="H82" t="s">
        <v>22</v>
      </c>
      <c r="I82" t="s">
        <v>31</v>
      </c>
      <c r="J82" t="s">
        <v>16</v>
      </c>
      <c r="K82" t="str">
        <f>TEXT(sales[[#This Row],[Date]],"mmm")</f>
        <v>Nov</v>
      </c>
      <c r="L82" t="str">
        <f>TEXT(sales[[#This Row],[Date]],"ddd")</f>
        <v>Fri</v>
      </c>
    </row>
    <row r="83" spans="1:12" x14ac:dyDescent="0.3">
      <c r="A83">
        <v>10541</v>
      </c>
      <c r="B83" s="1">
        <v>44890</v>
      </c>
      <c r="C83" t="s">
        <v>25</v>
      </c>
      <c r="D83" s="4">
        <v>9.9499999999999993</v>
      </c>
      <c r="E83" s="7">
        <v>201.01</v>
      </c>
      <c r="F83" s="4">
        <f t="shared" si="1"/>
        <v>2000.0494999999999</v>
      </c>
      <c r="G83" t="s">
        <v>36</v>
      </c>
      <c r="H83" t="s">
        <v>22</v>
      </c>
      <c r="I83" t="s">
        <v>38</v>
      </c>
      <c r="J83" t="s">
        <v>13</v>
      </c>
      <c r="K83" t="str">
        <f>TEXT(sales[[#This Row],[Date]],"mmm")</f>
        <v>Nov</v>
      </c>
      <c r="L83" t="str">
        <f>TEXT(sales[[#This Row],[Date]],"ddd")</f>
        <v>Fri</v>
      </c>
    </row>
    <row r="84" spans="1:12" x14ac:dyDescent="0.3">
      <c r="A84">
        <v>10542</v>
      </c>
      <c r="B84" s="1">
        <v>44890</v>
      </c>
      <c r="C84" t="s">
        <v>9</v>
      </c>
      <c r="D84" s="4">
        <v>3.49</v>
      </c>
      <c r="E84" s="7">
        <v>630.37</v>
      </c>
      <c r="F84" s="4">
        <f t="shared" si="1"/>
        <v>2199.9913000000001</v>
      </c>
      <c r="G84" t="s">
        <v>36</v>
      </c>
      <c r="H84" t="s">
        <v>22</v>
      </c>
      <c r="I84" t="s">
        <v>38</v>
      </c>
      <c r="J84" t="s">
        <v>13</v>
      </c>
      <c r="K84" t="str">
        <f>TEXT(sales[[#This Row],[Date]],"mmm")</f>
        <v>Nov</v>
      </c>
      <c r="L84" t="str">
        <f>TEXT(sales[[#This Row],[Date]],"ddd")</f>
        <v>Fri</v>
      </c>
    </row>
    <row r="85" spans="1:12" x14ac:dyDescent="0.3">
      <c r="A85">
        <v>10543</v>
      </c>
      <c r="B85" s="1">
        <v>44890</v>
      </c>
      <c r="C85" t="s">
        <v>14</v>
      </c>
      <c r="D85" s="4">
        <v>2.95</v>
      </c>
      <c r="E85" s="7">
        <v>745.76</v>
      </c>
      <c r="F85" s="4">
        <f t="shared" si="1"/>
        <v>2199.9920000000002</v>
      </c>
      <c r="G85" t="s">
        <v>36</v>
      </c>
      <c r="H85" t="s">
        <v>22</v>
      </c>
      <c r="I85" t="s">
        <v>38</v>
      </c>
      <c r="J85" t="s">
        <v>13</v>
      </c>
      <c r="K85" t="str">
        <f>TEXT(sales[[#This Row],[Date]],"mmm")</f>
        <v>Nov</v>
      </c>
      <c r="L85" t="str">
        <f>TEXT(sales[[#This Row],[Date]],"ddd")</f>
        <v>Fri</v>
      </c>
    </row>
    <row r="86" spans="1:12" x14ac:dyDescent="0.3">
      <c r="A86">
        <v>10544</v>
      </c>
      <c r="B86" s="1">
        <v>44890</v>
      </c>
      <c r="C86" t="s">
        <v>17</v>
      </c>
      <c r="D86" s="4">
        <v>4.99</v>
      </c>
      <c r="E86" s="7">
        <v>200.4</v>
      </c>
      <c r="F86" s="4">
        <f t="shared" si="1"/>
        <v>999.99600000000009</v>
      </c>
      <c r="G86" t="s">
        <v>36</v>
      </c>
      <c r="H86" t="s">
        <v>22</v>
      </c>
      <c r="I86" t="s">
        <v>38</v>
      </c>
      <c r="J86" t="s">
        <v>13</v>
      </c>
      <c r="K86" t="str">
        <f>TEXT(sales[[#This Row],[Date]],"mmm")</f>
        <v>Nov</v>
      </c>
      <c r="L86" t="str">
        <f>TEXT(sales[[#This Row],[Date]],"ddd")</f>
        <v>Fri</v>
      </c>
    </row>
    <row r="87" spans="1:12" x14ac:dyDescent="0.3">
      <c r="A87">
        <v>10545</v>
      </c>
      <c r="B87" s="1">
        <v>44891</v>
      </c>
      <c r="C87" t="s">
        <v>21</v>
      </c>
      <c r="D87" s="4">
        <v>12.99</v>
      </c>
      <c r="E87" s="7">
        <v>446.5</v>
      </c>
      <c r="F87" s="4">
        <f t="shared" si="1"/>
        <v>5800.0349999999999</v>
      </c>
      <c r="G87" t="s">
        <v>36</v>
      </c>
      <c r="H87" t="s">
        <v>22</v>
      </c>
      <c r="I87" t="s">
        <v>38</v>
      </c>
      <c r="J87" t="s">
        <v>13</v>
      </c>
      <c r="K87" t="str">
        <f>TEXT(sales[[#This Row],[Date]],"mmm")</f>
        <v>Nov</v>
      </c>
      <c r="L87" t="str">
        <f>TEXT(sales[[#This Row],[Date]],"ddd")</f>
        <v>Sat</v>
      </c>
    </row>
    <row r="88" spans="1:12" x14ac:dyDescent="0.3">
      <c r="A88">
        <v>10546</v>
      </c>
      <c r="B88" s="1">
        <v>44891</v>
      </c>
      <c r="C88" t="s">
        <v>25</v>
      </c>
      <c r="D88" s="4">
        <v>9.9499999999999993</v>
      </c>
      <c r="E88" s="7">
        <v>201.01</v>
      </c>
      <c r="F88" s="4">
        <f t="shared" si="1"/>
        <v>2000.0494999999999</v>
      </c>
      <c r="G88" t="s">
        <v>36</v>
      </c>
      <c r="H88" t="s">
        <v>22</v>
      </c>
      <c r="I88" t="s">
        <v>38</v>
      </c>
      <c r="J88" t="s">
        <v>13</v>
      </c>
      <c r="K88" t="str">
        <f>TEXT(sales[[#This Row],[Date]],"mmm")</f>
        <v>Nov</v>
      </c>
      <c r="L88" t="str">
        <f>TEXT(sales[[#This Row],[Date]],"ddd")</f>
        <v>Sat</v>
      </c>
    </row>
    <row r="89" spans="1:12" x14ac:dyDescent="0.3">
      <c r="A89">
        <v>10547</v>
      </c>
      <c r="B89" s="1">
        <v>44891</v>
      </c>
      <c r="C89" t="s">
        <v>9</v>
      </c>
      <c r="D89" s="4">
        <v>3.49</v>
      </c>
      <c r="E89" s="7">
        <v>630.37</v>
      </c>
      <c r="F89" s="4">
        <f t="shared" si="1"/>
        <v>2199.9913000000001</v>
      </c>
      <c r="G89" t="s">
        <v>36</v>
      </c>
      <c r="H89" t="s">
        <v>22</v>
      </c>
      <c r="I89" t="s">
        <v>38</v>
      </c>
      <c r="J89" t="s">
        <v>13</v>
      </c>
      <c r="K89" t="str">
        <f>TEXT(sales[[#This Row],[Date]],"mmm")</f>
        <v>Nov</v>
      </c>
      <c r="L89" t="str">
        <f>TEXT(sales[[#This Row],[Date]],"ddd")</f>
        <v>Sat</v>
      </c>
    </row>
    <row r="90" spans="1:12" x14ac:dyDescent="0.3">
      <c r="A90">
        <v>10548</v>
      </c>
      <c r="B90" s="1">
        <v>44891</v>
      </c>
      <c r="C90" t="s">
        <v>14</v>
      </c>
      <c r="D90" s="4">
        <v>2.95</v>
      </c>
      <c r="E90" s="7">
        <v>745.76</v>
      </c>
      <c r="F90" s="4">
        <f t="shared" si="1"/>
        <v>2199.9920000000002</v>
      </c>
      <c r="G90" t="s">
        <v>36</v>
      </c>
      <c r="H90" t="s">
        <v>22</v>
      </c>
      <c r="I90" t="s">
        <v>38</v>
      </c>
      <c r="J90" t="s">
        <v>13</v>
      </c>
      <c r="K90" t="str">
        <f>TEXT(sales[[#This Row],[Date]],"mmm")</f>
        <v>Nov</v>
      </c>
      <c r="L90" t="str">
        <f>TEXT(sales[[#This Row],[Date]],"ddd")</f>
        <v>Sat</v>
      </c>
    </row>
    <row r="91" spans="1:12" x14ac:dyDescent="0.3">
      <c r="A91">
        <v>10549</v>
      </c>
      <c r="B91" s="1">
        <v>44891</v>
      </c>
      <c r="C91" t="s">
        <v>17</v>
      </c>
      <c r="D91" s="4">
        <v>4.99</v>
      </c>
      <c r="E91" s="7">
        <v>200.4</v>
      </c>
      <c r="F91" s="4">
        <f t="shared" si="1"/>
        <v>999.99600000000009</v>
      </c>
      <c r="G91" t="s">
        <v>36</v>
      </c>
      <c r="H91" t="s">
        <v>22</v>
      </c>
      <c r="I91" t="s">
        <v>38</v>
      </c>
      <c r="J91" t="s">
        <v>13</v>
      </c>
      <c r="K91" t="str">
        <f>TEXT(sales[[#This Row],[Date]],"mmm")</f>
        <v>Nov</v>
      </c>
      <c r="L91" t="str">
        <f>TEXT(sales[[#This Row],[Date]],"ddd")</f>
        <v>Sat</v>
      </c>
    </row>
    <row r="92" spans="1:12" x14ac:dyDescent="0.3">
      <c r="A92">
        <v>10550</v>
      </c>
      <c r="B92" s="1">
        <v>44892</v>
      </c>
      <c r="C92" t="s">
        <v>21</v>
      </c>
      <c r="D92" s="4">
        <v>12.99</v>
      </c>
      <c r="E92" s="7">
        <v>461.89</v>
      </c>
      <c r="F92" s="4">
        <f t="shared" si="1"/>
        <v>5999.9511000000002</v>
      </c>
      <c r="G92" t="s">
        <v>36</v>
      </c>
      <c r="H92" t="s">
        <v>22</v>
      </c>
      <c r="I92" t="s">
        <v>38</v>
      </c>
      <c r="J92" t="s">
        <v>13</v>
      </c>
      <c r="K92" t="str">
        <f>TEXT(sales[[#This Row],[Date]],"mmm")</f>
        <v>Nov</v>
      </c>
      <c r="L92" t="str">
        <f>TEXT(sales[[#This Row],[Date]],"ddd")</f>
        <v>Sun</v>
      </c>
    </row>
    <row r="93" spans="1:12" x14ac:dyDescent="0.3">
      <c r="A93">
        <v>10551</v>
      </c>
      <c r="B93" s="1">
        <v>44892</v>
      </c>
      <c r="C93" t="s">
        <v>25</v>
      </c>
      <c r="D93" s="4">
        <v>9.9499999999999993</v>
      </c>
      <c r="E93" s="7">
        <v>201.01</v>
      </c>
      <c r="F93" s="4">
        <f t="shared" si="1"/>
        <v>2000.0494999999999</v>
      </c>
      <c r="G93" t="s">
        <v>36</v>
      </c>
      <c r="H93" t="s">
        <v>22</v>
      </c>
      <c r="I93" t="s">
        <v>38</v>
      </c>
      <c r="J93" t="s">
        <v>13</v>
      </c>
      <c r="K93" t="str">
        <f>TEXT(sales[[#This Row],[Date]],"mmm")</f>
        <v>Nov</v>
      </c>
      <c r="L93" t="str">
        <f>TEXT(sales[[#This Row],[Date]],"ddd")</f>
        <v>Sun</v>
      </c>
    </row>
    <row r="94" spans="1:12" x14ac:dyDescent="0.3">
      <c r="A94">
        <v>10552</v>
      </c>
      <c r="B94" s="1">
        <v>44892</v>
      </c>
      <c r="C94" t="s">
        <v>9</v>
      </c>
      <c r="D94" s="4">
        <v>3.49</v>
      </c>
      <c r="E94" s="7">
        <v>630.37</v>
      </c>
      <c r="F94" s="4">
        <f t="shared" si="1"/>
        <v>2199.9913000000001</v>
      </c>
      <c r="G94" t="s">
        <v>10</v>
      </c>
      <c r="H94" t="s">
        <v>22</v>
      </c>
      <c r="I94" t="s">
        <v>38</v>
      </c>
      <c r="J94" t="s">
        <v>13</v>
      </c>
      <c r="K94" t="str">
        <f>TEXT(sales[[#This Row],[Date]],"mmm")</f>
        <v>Nov</v>
      </c>
      <c r="L94" t="str">
        <f>TEXT(sales[[#This Row],[Date]],"ddd")</f>
        <v>Sun</v>
      </c>
    </row>
    <row r="95" spans="1:12" x14ac:dyDescent="0.3">
      <c r="A95">
        <v>10553</v>
      </c>
      <c r="B95" s="1">
        <v>44892</v>
      </c>
      <c r="C95" t="s">
        <v>14</v>
      </c>
      <c r="D95" s="4">
        <v>2.95</v>
      </c>
      <c r="E95" s="7">
        <v>745.76</v>
      </c>
      <c r="F95" s="4">
        <f t="shared" si="1"/>
        <v>2199.9920000000002</v>
      </c>
      <c r="G95" t="s">
        <v>10</v>
      </c>
      <c r="H95" t="s">
        <v>22</v>
      </c>
      <c r="I95" t="s">
        <v>38</v>
      </c>
      <c r="J95" t="s">
        <v>13</v>
      </c>
      <c r="K95" t="str">
        <f>TEXT(sales[[#This Row],[Date]],"mmm")</f>
        <v>Nov</v>
      </c>
      <c r="L95" t="str">
        <f>TEXT(sales[[#This Row],[Date]],"ddd")</f>
        <v>Sun</v>
      </c>
    </row>
    <row r="96" spans="1:12" x14ac:dyDescent="0.3">
      <c r="A96">
        <v>10554</v>
      </c>
      <c r="B96" s="1">
        <v>44892</v>
      </c>
      <c r="C96" t="s">
        <v>17</v>
      </c>
      <c r="D96" s="4">
        <v>4.99</v>
      </c>
      <c r="E96" s="7">
        <v>200.4</v>
      </c>
      <c r="F96" s="4">
        <f t="shared" si="1"/>
        <v>999.99600000000009</v>
      </c>
      <c r="G96" t="s">
        <v>10</v>
      </c>
      <c r="H96" t="s">
        <v>22</v>
      </c>
      <c r="I96" t="s">
        <v>38</v>
      </c>
      <c r="J96" t="s">
        <v>13</v>
      </c>
      <c r="K96" t="str">
        <f>TEXT(sales[[#This Row],[Date]],"mmm")</f>
        <v>Nov</v>
      </c>
      <c r="L96" t="str">
        <f>TEXT(sales[[#This Row],[Date]],"ddd")</f>
        <v>Sun</v>
      </c>
    </row>
    <row r="97" spans="1:12" x14ac:dyDescent="0.3">
      <c r="A97">
        <v>10555</v>
      </c>
      <c r="B97" s="1">
        <v>44893</v>
      </c>
      <c r="C97" t="s">
        <v>21</v>
      </c>
      <c r="D97" s="4">
        <v>12.99</v>
      </c>
      <c r="E97" s="7">
        <v>477.29</v>
      </c>
      <c r="F97" s="4">
        <f t="shared" si="1"/>
        <v>6199.9971000000005</v>
      </c>
      <c r="G97" t="s">
        <v>10</v>
      </c>
      <c r="H97" t="s">
        <v>22</v>
      </c>
      <c r="I97" t="s">
        <v>38</v>
      </c>
      <c r="J97" t="s">
        <v>13</v>
      </c>
      <c r="K97" t="str">
        <f>TEXT(sales[[#This Row],[Date]],"mmm")</f>
        <v>Nov</v>
      </c>
      <c r="L97" t="str">
        <f>TEXT(sales[[#This Row],[Date]],"ddd")</f>
        <v>Mon</v>
      </c>
    </row>
    <row r="98" spans="1:12" x14ac:dyDescent="0.3">
      <c r="A98">
        <v>10556</v>
      </c>
      <c r="B98" s="1">
        <v>44893</v>
      </c>
      <c r="C98" t="s">
        <v>25</v>
      </c>
      <c r="D98" s="4">
        <v>9.9499999999999993</v>
      </c>
      <c r="E98" s="7">
        <v>201.01</v>
      </c>
      <c r="F98" s="4">
        <f t="shared" si="1"/>
        <v>2000.0494999999999</v>
      </c>
      <c r="G98" t="s">
        <v>10</v>
      </c>
      <c r="H98" t="s">
        <v>22</v>
      </c>
      <c r="I98" t="s">
        <v>38</v>
      </c>
      <c r="J98" t="s">
        <v>13</v>
      </c>
      <c r="K98" t="str">
        <f>TEXT(sales[[#This Row],[Date]],"mmm")</f>
        <v>Nov</v>
      </c>
      <c r="L98" t="str">
        <f>TEXT(sales[[#This Row],[Date]],"ddd")</f>
        <v>Mon</v>
      </c>
    </row>
    <row r="99" spans="1:12" x14ac:dyDescent="0.3">
      <c r="A99">
        <v>10557</v>
      </c>
      <c r="B99" s="1">
        <v>44893</v>
      </c>
      <c r="C99" t="s">
        <v>9</v>
      </c>
      <c r="D99" s="4">
        <v>3.49</v>
      </c>
      <c r="E99" s="7">
        <v>630.37</v>
      </c>
      <c r="F99" s="4">
        <f t="shared" si="1"/>
        <v>2199.9913000000001</v>
      </c>
      <c r="G99" t="s">
        <v>10</v>
      </c>
      <c r="H99" t="s">
        <v>22</v>
      </c>
      <c r="I99" t="s">
        <v>38</v>
      </c>
      <c r="J99" t="s">
        <v>13</v>
      </c>
      <c r="K99" t="str">
        <f>TEXT(sales[[#This Row],[Date]],"mmm")</f>
        <v>Nov</v>
      </c>
      <c r="L99" t="str">
        <f>TEXT(sales[[#This Row],[Date]],"ddd")</f>
        <v>Mon</v>
      </c>
    </row>
    <row r="100" spans="1:12" x14ac:dyDescent="0.3">
      <c r="A100">
        <v>10558</v>
      </c>
      <c r="B100" s="1">
        <v>44893</v>
      </c>
      <c r="C100" t="s">
        <v>14</v>
      </c>
      <c r="D100" s="4">
        <v>2.95</v>
      </c>
      <c r="E100" s="7">
        <v>677.97</v>
      </c>
      <c r="F100" s="4">
        <f t="shared" si="1"/>
        <v>2000.0115000000003</v>
      </c>
      <c r="G100" t="s">
        <v>10</v>
      </c>
      <c r="H100" t="s">
        <v>22</v>
      </c>
      <c r="I100" t="s">
        <v>38</v>
      </c>
      <c r="J100" t="s">
        <v>13</v>
      </c>
      <c r="K100" t="str">
        <f>TEXT(sales[[#This Row],[Date]],"mmm")</f>
        <v>Nov</v>
      </c>
      <c r="L100" t="str">
        <f>TEXT(sales[[#This Row],[Date]],"ddd")</f>
        <v>Mon</v>
      </c>
    </row>
    <row r="101" spans="1:12" x14ac:dyDescent="0.3">
      <c r="A101">
        <v>10559</v>
      </c>
      <c r="B101" s="1">
        <v>44893</v>
      </c>
      <c r="C101" t="s">
        <v>17</v>
      </c>
      <c r="D101" s="4">
        <v>4.99</v>
      </c>
      <c r="E101" s="7">
        <v>200.4</v>
      </c>
      <c r="F101" s="4">
        <f t="shared" si="1"/>
        <v>999.99600000000009</v>
      </c>
      <c r="G101" t="s">
        <v>10</v>
      </c>
      <c r="H101" t="s">
        <v>22</v>
      </c>
      <c r="I101" t="s">
        <v>38</v>
      </c>
      <c r="J101" t="s">
        <v>13</v>
      </c>
      <c r="K101" t="str">
        <f>TEXT(sales[[#This Row],[Date]],"mmm")</f>
        <v>Nov</v>
      </c>
      <c r="L101" t="str">
        <f>TEXT(sales[[#This Row],[Date]],"ddd")</f>
        <v>Mon</v>
      </c>
    </row>
    <row r="102" spans="1:12" x14ac:dyDescent="0.3">
      <c r="A102">
        <v>10560</v>
      </c>
      <c r="B102" s="1">
        <v>44894</v>
      </c>
      <c r="C102" t="s">
        <v>21</v>
      </c>
      <c r="D102" s="4">
        <v>12.99</v>
      </c>
      <c r="E102" s="7">
        <v>477.29</v>
      </c>
      <c r="F102" s="4">
        <f t="shared" si="1"/>
        <v>6199.9971000000005</v>
      </c>
      <c r="G102" t="s">
        <v>10</v>
      </c>
      <c r="H102" t="s">
        <v>22</v>
      </c>
      <c r="I102" t="s">
        <v>38</v>
      </c>
      <c r="J102" t="s">
        <v>13</v>
      </c>
      <c r="K102" t="str">
        <f>TEXT(sales[[#This Row],[Date]],"mmm")</f>
        <v>Nov</v>
      </c>
      <c r="L102" t="str">
        <f>TEXT(sales[[#This Row],[Date]],"ddd")</f>
        <v>Tue</v>
      </c>
    </row>
    <row r="103" spans="1:12" x14ac:dyDescent="0.3">
      <c r="A103">
        <v>10561</v>
      </c>
      <c r="B103" s="1">
        <v>44894</v>
      </c>
      <c r="C103" t="s">
        <v>25</v>
      </c>
      <c r="D103" s="4">
        <v>9.9499999999999993</v>
      </c>
      <c r="E103" s="7">
        <v>201.01</v>
      </c>
      <c r="F103" s="4">
        <f t="shared" si="1"/>
        <v>2000.0494999999999</v>
      </c>
      <c r="G103" t="s">
        <v>10</v>
      </c>
      <c r="H103" t="s">
        <v>22</v>
      </c>
      <c r="I103" t="s">
        <v>38</v>
      </c>
      <c r="J103" t="s">
        <v>13</v>
      </c>
      <c r="K103" t="str">
        <f>TEXT(sales[[#This Row],[Date]],"mmm")</f>
        <v>Nov</v>
      </c>
      <c r="L103" t="str">
        <f>TEXT(sales[[#This Row],[Date]],"ddd")</f>
        <v>Tue</v>
      </c>
    </row>
    <row r="104" spans="1:12" x14ac:dyDescent="0.3">
      <c r="A104">
        <v>10562</v>
      </c>
      <c r="B104" s="1">
        <v>44894</v>
      </c>
      <c r="C104" t="s">
        <v>9</v>
      </c>
      <c r="D104" s="4">
        <v>3.49</v>
      </c>
      <c r="E104" s="7">
        <v>630.37</v>
      </c>
      <c r="F104" s="4">
        <f t="shared" si="1"/>
        <v>2199.9913000000001</v>
      </c>
      <c r="G104" t="s">
        <v>10</v>
      </c>
      <c r="H104" t="s">
        <v>22</v>
      </c>
      <c r="I104" t="s">
        <v>38</v>
      </c>
      <c r="J104" t="s">
        <v>13</v>
      </c>
      <c r="K104" t="str">
        <f>TEXT(sales[[#This Row],[Date]],"mmm")</f>
        <v>Nov</v>
      </c>
      <c r="L104" t="str">
        <f>TEXT(sales[[#This Row],[Date]],"ddd")</f>
        <v>Tue</v>
      </c>
    </row>
    <row r="105" spans="1:12" x14ac:dyDescent="0.3">
      <c r="A105">
        <v>10563</v>
      </c>
      <c r="B105" s="1">
        <v>44894</v>
      </c>
      <c r="C105" t="s">
        <v>14</v>
      </c>
      <c r="D105" s="4">
        <v>2.95</v>
      </c>
      <c r="E105" s="7">
        <v>677.97</v>
      </c>
      <c r="F105" s="4">
        <f t="shared" si="1"/>
        <v>2000.0115000000003</v>
      </c>
      <c r="G105" t="s">
        <v>10</v>
      </c>
      <c r="H105" t="s">
        <v>22</v>
      </c>
      <c r="I105" t="s">
        <v>38</v>
      </c>
      <c r="J105" t="s">
        <v>13</v>
      </c>
      <c r="K105" t="str">
        <f>TEXT(sales[[#This Row],[Date]],"mmm")</f>
        <v>Nov</v>
      </c>
      <c r="L105" t="str">
        <f>TEXT(sales[[#This Row],[Date]],"ddd")</f>
        <v>Tue</v>
      </c>
    </row>
    <row r="106" spans="1:12" x14ac:dyDescent="0.3">
      <c r="A106">
        <v>10564</v>
      </c>
      <c r="B106" s="1">
        <v>44894</v>
      </c>
      <c r="C106" t="s">
        <v>17</v>
      </c>
      <c r="D106" s="4">
        <v>4.99</v>
      </c>
      <c r="E106" s="7">
        <v>200.4</v>
      </c>
      <c r="F106" s="4">
        <f t="shared" si="1"/>
        <v>999.99600000000009</v>
      </c>
      <c r="G106" t="s">
        <v>10</v>
      </c>
      <c r="H106" t="s">
        <v>22</v>
      </c>
      <c r="I106" t="s">
        <v>38</v>
      </c>
      <c r="J106" t="s">
        <v>13</v>
      </c>
      <c r="K106" t="str">
        <f>TEXT(sales[[#This Row],[Date]],"mmm")</f>
        <v>Nov</v>
      </c>
      <c r="L106" t="str">
        <f>TEXT(sales[[#This Row],[Date]],"ddd")</f>
        <v>Tue</v>
      </c>
    </row>
    <row r="107" spans="1:12" x14ac:dyDescent="0.3">
      <c r="A107">
        <v>10565</v>
      </c>
      <c r="B107" s="1">
        <v>44895</v>
      </c>
      <c r="C107" t="s">
        <v>21</v>
      </c>
      <c r="D107" s="4">
        <v>12.99</v>
      </c>
      <c r="E107" s="7">
        <v>492.69</v>
      </c>
      <c r="F107" s="4">
        <f t="shared" si="1"/>
        <v>6400.0430999999999</v>
      </c>
      <c r="G107" t="s">
        <v>10</v>
      </c>
      <c r="H107" t="s">
        <v>22</v>
      </c>
      <c r="I107" t="s">
        <v>38</v>
      </c>
      <c r="J107" t="s">
        <v>13</v>
      </c>
      <c r="K107" t="str">
        <f>TEXT(sales[[#This Row],[Date]],"mmm")</f>
        <v>Nov</v>
      </c>
      <c r="L107" t="str">
        <f>TEXT(sales[[#This Row],[Date]],"ddd")</f>
        <v>Wed</v>
      </c>
    </row>
    <row r="108" spans="1:12" x14ac:dyDescent="0.3">
      <c r="A108">
        <v>10566</v>
      </c>
      <c r="B108" s="1">
        <v>44895</v>
      </c>
      <c r="C108" t="s">
        <v>25</v>
      </c>
      <c r="D108" s="4">
        <v>9.9499999999999993</v>
      </c>
      <c r="E108" s="7">
        <v>201.01</v>
      </c>
      <c r="F108" s="4">
        <f t="shared" si="1"/>
        <v>2000.0494999999999</v>
      </c>
      <c r="G108" t="s">
        <v>10</v>
      </c>
      <c r="H108" t="s">
        <v>22</v>
      </c>
      <c r="I108" t="s">
        <v>38</v>
      </c>
      <c r="J108" t="s">
        <v>13</v>
      </c>
      <c r="K108" t="str">
        <f>TEXT(sales[[#This Row],[Date]],"mmm")</f>
        <v>Nov</v>
      </c>
      <c r="L108" t="str">
        <f>TEXT(sales[[#This Row],[Date]],"ddd")</f>
        <v>Wed</v>
      </c>
    </row>
    <row r="109" spans="1:12" x14ac:dyDescent="0.3">
      <c r="A109">
        <v>10567</v>
      </c>
      <c r="B109" s="1">
        <v>44895</v>
      </c>
      <c r="C109" t="s">
        <v>9</v>
      </c>
      <c r="D109" s="4">
        <v>3.49</v>
      </c>
      <c r="E109" s="7">
        <v>630.37</v>
      </c>
      <c r="F109" s="4">
        <f t="shared" si="1"/>
        <v>2199.9913000000001</v>
      </c>
      <c r="G109" t="s">
        <v>10</v>
      </c>
      <c r="H109" t="s">
        <v>22</v>
      </c>
      <c r="I109" t="s">
        <v>38</v>
      </c>
      <c r="J109" t="s">
        <v>13</v>
      </c>
      <c r="K109" t="str">
        <f>TEXT(sales[[#This Row],[Date]],"mmm")</f>
        <v>Nov</v>
      </c>
      <c r="L109" t="str">
        <f>TEXT(sales[[#This Row],[Date]],"ddd")</f>
        <v>Wed</v>
      </c>
    </row>
    <row r="110" spans="1:12" x14ac:dyDescent="0.3">
      <c r="A110">
        <v>10568</v>
      </c>
      <c r="B110" s="1">
        <v>44895</v>
      </c>
      <c r="C110" t="s">
        <v>14</v>
      </c>
      <c r="D110" s="4">
        <v>2.95</v>
      </c>
      <c r="E110" s="7">
        <v>677.97</v>
      </c>
      <c r="F110" s="4">
        <f t="shared" si="1"/>
        <v>2000.0115000000003</v>
      </c>
      <c r="G110" t="s">
        <v>10</v>
      </c>
      <c r="H110" t="s">
        <v>22</v>
      </c>
      <c r="I110" t="s">
        <v>38</v>
      </c>
      <c r="J110" t="s">
        <v>13</v>
      </c>
      <c r="K110" t="str">
        <f>TEXT(sales[[#This Row],[Date]],"mmm")</f>
        <v>Nov</v>
      </c>
      <c r="L110" t="str">
        <f>TEXT(sales[[#This Row],[Date]],"ddd")</f>
        <v>Wed</v>
      </c>
    </row>
    <row r="111" spans="1:12" x14ac:dyDescent="0.3">
      <c r="A111">
        <v>10569</v>
      </c>
      <c r="B111" s="1">
        <v>44895</v>
      </c>
      <c r="C111" t="s">
        <v>17</v>
      </c>
      <c r="D111" s="4">
        <v>4.99</v>
      </c>
      <c r="E111" s="7">
        <v>200.4</v>
      </c>
      <c r="F111" s="4">
        <f t="shared" si="1"/>
        <v>999.99600000000009</v>
      </c>
      <c r="G111" t="s">
        <v>10</v>
      </c>
      <c r="H111" t="s">
        <v>22</v>
      </c>
      <c r="I111" t="s">
        <v>38</v>
      </c>
      <c r="J111" t="s">
        <v>13</v>
      </c>
      <c r="K111" t="str">
        <f>TEXT(sales[[#This Row],[Date]],"mmm")</f>
        <v>Nov</v>
      </c>
      <c r="L111" t="str">
        <f>TEXT(sales[[#This Row],[Date]],"ddd")</f>
        <v>Wed</v>
      </c>
    </row>
    <row r="112" spans="1:12" x14ac:dyDescent="0.3">
      <c r="A112">
        <v>10570</v>
      </c>
      <c r="B112" s="1">
        <v>44896</v>
      </c>
      <c r="C112" t="s">
        <v>21</v>
      </c>
      <c r="D112" s="4">
        <v>12.99</v>
      </c>
      <c r="E112" s="7">
        <v>492.69</v>
      </c>
      <c r="F112" s="4">
        <f t="shared" si="1"/>
        <v>6400.0430999999999</v>
      </c>
      <c r="G112" t="s">
        <v>10</v>
      </c>
      <c r="H112" t="s">
        <v>22</v>
      </c>
      <c r="I112" t="s">
        <v>38</v>
      </c>
      <c r="J112" t="s">
        <v>13</v>
      </c>
      <c r="K112" t="str">
        <f>TEXT(sales[[#This Row],[Date]],"mmm")</f>
        <v>Dec</v>
      </c>
      <c r="L112" t="str">
        <f>TEXT(sales[[#This Row],[Date]],"ddd")</f>
        <v>Thu</v>
      </c>
    </row>
    <row r="113" spans="1:12" x14ac:dyDescent="0.3">
      <c r="A113">
        <v>10571</v>
      </c>
      <c r="B113" s="1">
        <v>44896</v>
      </c>
      <c r="C113" t="s">
        <v>25</v>
      </c>
      <c r="D113" s="4">
        <v>9.9499999999999993</v>
      </c>
      <c r="E113" s="7">
        <v>201.01</v>
      </c>
      <c r="F113" s="4">
        <f t="shared" si="1"/>
        <v>2000.0494999999999</v>
      </c>
      <c r="G113" t="s">
        <v>10</v>
      </c>
      <c r="H113" t="s">
        <v>22</v>
      </c>
      <c r="I113" t="s">
        <v>38</v>
      </c>
      <c r="J113" t="s">
        <v>13</v>
      </c>
      <c r="K113" t="str">
        <f>TEXT(sales[[#This Row],[Date]],"mmm")</f>
        <v>Dec</v>
      </c>
      <c r="L113" t="str">
        <f>TEXT(sales[[#This Row],[Date]],"ddd")</f>
        <v>Thu</v>
      </c>
    </row>
    <row r="114" spans="1:12" x14ac:dyDescent="0.3">
      <c r="A114">
        <v>10572</v>
      </c>
      <c r="B114" s="1">
        <v>44896</v>
      </c>
      <c r="C114" t="s">
        <v>9</v>
      </c>
      <c r="D114" s="4">
        <v>3.49</v>
      </c>
      <c r="E114" s="7">
        <v>573.07000000000005</v>
      </c>
      <c r="F114" s="4">
        <f t="shared" si="1"/>
        <v>2000.0143000000003</v>
      </c>
      <c r="G114" t="s">
        <v>10</v>
      </c>
      <c r="H114" t="s">
        <v>22</v>
      </c>
      <c r="I114" t="s">
        <v>28</v>
      </c>
      <c r="J114" t="s">
        <v>27</v>
      </c>
      <c r="K114" t="str">
        <f>TEXT(sales[[#This Row],[Date]],"mmm")</f>
        <v>Dec</v>
      </c>
      <c r="L114" t="str">
        <f>TEXT(sales[[#This Row],[Date]],"ddd")</f>
        <v>Thu</v>
      </c>
    </row>
    <row r="115" spans="1:12" x14ac:dyDescent="0.3">
      <c r="A115">
        <v>10573</v>
      </c>
      <c r="B115" s="1">
        <v>44896</v>
      </c>
      <c r="C115" t="s">
        <v>14</v>
      </c>
      <c r="D115" s="4">
        <v>2.95</v>
      </c>
      <c r="E115" s="7">
        <v>677.97</v>
      </c>
      <c r="F115" s="4">
        <f t="shared" si="1"/>
        <v>2000.0115000000003</v>
      </c>
      <c r="G115" t="s">
        <v>10</v>
      </c>
      <c r="H115" t="s">
        <v>22</v>
      </c>
      <c r="I115" t="s">
        <v>28</v>
      </c>
      <c r="J115" t="s">
        <v>27</v>
      </c>
      <c r="K115" t="str">
        <f>TEXT(sales[[#This Row],[Date]],"mmm")</f>
        <v>Dec</v>
      </c>
      <c r="L115" t="str">
        <f>TEXT(sales[[#This Row],[Date]],"ddd")</f>
        <v>Thu</v>
      </c>
    </row>
    <row r="116" spans="1:12" x14ac:dyDescent="0.3">
      <c r="A116">
        <v>10574</v>
      </c>
      <c r="B116" s="1">
        <v>44896</v>
      </c>
      <c r="C116" t="s">
        <v>17</v>
      </c>
      <c r="D116" s="4">
        <v>4.99</v>
      </c>
      <c r="E116" s="7">
        <v>200.4</v>
      </c>
      <c r="F116" s="4">
        <f t="shared" si="1"/>
        <v>999.99600000000009</v>
      </c>
      <c r="G116" t="s">
        <v>10</v>
      </c>
      <c r="H116" t="s">
        <v>22</v>
      </c>
      <c r="I116" t="s">
        <v>28</v>
      </c>
      <c r="J116" t="s">
        <v>27</v>
      </c>
      <c r="K116" t="str">
        <f>TEXT(sales[[#This Row],[Date]],"mmm")</f>
        <v>Dec</v>
      </c>
      <c r="L116" t="str">
        <f>TEXT(sales[[#This Row],[Date]],"ddd")</f>
        <v>Thu</v>
      </c>
    </row>
    <row r="117" spans="1:12" x14ac:dyDescent="0.3">
      <c r="A117">
        <v>10575</v>
      </c>
      <c r="B117" s="1">
        <v>44897</v>
      </c>
      <c r="C117" t="s">
        <v>21</v>
      </c>
      <c r="D117" s="4">
        <v>12.99</v>
      </c>
      <c r="E117" s="7">
        <v>523.48</v>
      </c>
      <c r="F117" s="4">
        <f t="shared" si="1"/>
        <v>6800.0052000000005</v>
      </c>
      <c r="G117" t="s">
        <v>10</v>
      </c>
      <c r="H117" t="s">
        <v>22</v>
      </c>
      <c r="I117" t="s">
        <v>28</v>
      </c>
      <c r="J117" t="s">
        <v>27</v>
      </c>
      <c r="K117" t="str">
        <f>TEXT(sales[[#This Row],[Date]],"mmm")</f>
        <v>Dec</v>
      </c>
      <c r="L117" t="str">
        <f>TEXT(sales[[#This Row],[Date]],"ddd")</f>
        <v>Fri</v>
      </c>
    </row>
    <row r="118" spans="1:12" x14ac:dyDescent="0.3">
      <c r="A118">
        <v>10576</v>
      </c>
      <c r="B118" s="1">
        <v>44897</v>
      </c>
      <c r="C118" t="s">
        <v>25</v>
      </c>
      <c r="D118" s="4">
        <v>9.9499999999999993</v>
      </c>
      <c r="E118" s="7">
        <v>201.01</v>
      </c>
      <c r="F118" s="4">
        <f t="shared" si="1"/>
        <v>2000.0494999999999</v>
      </c>
      <c r="G118" t="s">
        <v>10</v>
      </c>
      <c r="H118" t="s">
        <v>22</v>
      </c>
      <c r="I118" t="s">
        <v>28</v>
      </c>
      <c r="J118" t="s">
        <v>27</v>
      </c>
      <c r="K118" t="str">
        <f>TEXT(sales[[#This Row],[Date]],"mmm")</f>
        <v>Dec</v>
      </c>
      <c r="L118" t="str">
        <f>TEXT(sales[[#This Row],[Date]],"ddd")</f>
        <v>Fri</v>
      </c>
    </row>
    <row r="119" spans="1:12" x14ac:dyDescent="0.3">
      <c r="A119">
        <v>10577</v>
      </c>
      <c r="B119" s="1">
        <v>44897</v>
      </c>
      <c r="C119" t="s">
        <v>9</v>
      </c>
      <c r="D119" s="4">
        <v>3.49</v>
      </c>
      <c r="E119" s="7">
        <v>630.37</v>
      </c>
      <c r="F119" s="4">
        <f t="shared" si="1"/>
        <v>2199.9913000000001</v>
      </c>
      <c r="G119" t="s">
        <v>10</v>
      </c>
      <c r="H119" t="s">
        <v>22</v>
      </c>
      <c r="I119" t="s">
        <v>28</v>
      </c>
      <c r="J119" t="s">
        <v>27</v>
      </c>
      <c r="K119" t="str">
        <f>TEXT(sales[[#This Row],[Date]],"mmm")</f>
        <v>Dec</v>
      </c>
      <c r="L119" t="str">
        <f>TEXT(sales[[#This Row],[Date]],"ddd")</f>
        <v>Fri</v>
      </c>
    </row>
    <row r="120" spans="1:12" x14ac:dyDescent="0.3">
      <c r="A120">
        <v>10578</v>
      </c>
      <c r="B120" s="1">
        <v>44897</v>
      </c>
      <c r="C120" t="s">
        <v>14</v>
      </c>
      <c r="D120" s="4">
        <v>2.95</v>
      </c>
      <c r="E120" s="7">
        <v>677.97</v>
      </c>
      <c r="F120" s="4">
        <f t="shared" si="1"/>
        <v>2000.0115000000003</v>
      </c>
      <c r="G120" t="s">
        <v>10</v>
      </c>
      <c r="H120" t="s">
        <v>22</v>
      </c>
      <c r="I120" t="s">
        <v>28</v>
      </c>
      <c r="J120" t="s">
        <v>27</v>
      </c>
      <c r="K120" t="str">
        <f>TEXT(sales[[#This Row],[Date]],"mmm")</f>
        <v>Dec</v>
      </c>
      <c r="L120" t="str">
        <f>TEXT(sales[[#This Row],[Date]],"ddd")</f>
        <v>Fri</v>
      </c>
    </row>
    <row r="121" spans="1:12" x14ac:dyDescent="0.3">
      <c r="A121">
        <v>10579</v>
      </c>
      <c r="B121" s="1">
        <v>44897</v>
      </c>
      <c r="C121" t="s">
        <v>17</v>
      </c>
      <c r="D121" s="4">
        <v>4.99</v>
      </c>
      <c r="E121" s="7">
        <v>200.4</v>
      </c>
      <c r="F121" s="4">
        <f t="shared" si="1"/>
        <v>999.99600000000009</v>
      </c>
      <c r="G121" t="s">
        <v>10</v>
      </c>
      <c r="H121" t="s">
        <v>22</v>
      </c>
      <c r="I121" t="s">
        <v>28</v>
      </c>
      <c r="J121" t="s">
        <v>27</v>
      </c>
      <c r="K121" t="str">
        <f>TEXT(sales[[#This Row],[Date]],"mmm")</f>
        <v>Dec</v>
      </c>
      <c r="L121" t="str">
        <f>TEXT(sales[[#This Row],[Date]],"ddd")</f>
        <v>Fri</v>
      </c>
    </row>
    <row r="122" spans="1:12" x14ac:dyDescent="0.3">
      <c r="A122">
        <v>10580</v>
      </c>
      <c r="B122" s="1">
        <v>44898</v>
      </c>
      <c r="C122" t="s">
        <v>21</v>
      </c>
      <c r="D122" s="4">
        <v>12.99</v>
      </c>
      <c r="E122" s="7">
        <v>523.48</v>
      </c>
      <c r="F122" s="4">
        <f t="shared" si="1"/>
        <v>6800.0052000000005</v>
      </c>
      <c r="G122" t="s">
        <v>10</v>
      </c>
      <c r="H122" t="s">
        <v>22</v>
      </c>
      <c r="I122" t="s">
        <v>28</v>
      </c>
      <c r="J122" t="s">
        <v>27</v>
      </c>
      <c r="K122" t="str">
        <f>TEXT(sales[[#This Row],[Date]],"mmm")</f>
        <v>Dec</v>
      </c>
      <c r="L122" t="str">
        <f>TEXT(sales[[#This Row],[Date]],"ddd")</f>
        <v>Sat</v>
      </c>
    </row>
    <row r="123" spans="1:12" x14ac:dyDescent="0.3">
      <c r="A123">
        <v>10581</v>
      </c>
      <c r="B123" s="1">
        <v>44898</v>
      </c>
      <c r="C123" t="s">
        <v>25</v>
      </c>
      <c r="D123" s="4">
        <v>9.9499999999999993</v>
      </c>
      <c r="E123" s="7">
        <v>201.01</v>
      </c>
      <c r="F123" s="4">
        <f t="shared" si="1"/>
        <v>2000.0494999999999</v>
      </c>
      <c r="G123" t="s">
        <v>10</v>
      </c>
      <c r="H123" t="s">
        <v>22</v>
      </c>
      <c r="I123" t="s">
        <v>28</v>
      </c>
      <c r="J123" t="s">
        <v>27</v>
      </c>
      <c r="K123" t="str">
        <f>TEXT(sales[[#This Row],[Date]],"mmm")</f>
        <v>Dec</v>
      </c>
      <c r="L123" t="str">
        <f>TEXT(sales[[#This Row],[Date]],"ddd")</f>
        <v>Sat</v>
      </c>
    </row>
    <row r="124" spans="1:12" x14ac:dyDescent="0.3">
      <c r="A124">
        <v>10582</v>
      </c>
      <c r="B124" s="1">
        <v>44898</v>
      </c>
      <c r="C124" t="s">
        <v>9</v>
      </c>
      <c r="D124" s="4">
        <v>3.49</v>
      </c>
      <c r="E124" s="7">
        <v>630.37</v>
      </c>
      <c r="F124" s="4">
        <f t="shared" si="1"/>
        <v>2199.9913000000001</v>
      </c>
      <c r="G124" t="s">
        <v>10</v>
      </c>
      <c r="H124" t="s">
        <v>22</v>
      </c>
      <c r="I124" t="s">
        <v>38</v>
      </c>
      <c r="J124" t="s">
        <v>13</v>
      </c>
      <c r="K124" t="str">
        <f>TEXT(sales[[#This Row],[Date]],"mmm")</f>
        <v>Dec</v>
      </c>
      <c r="L124" t="str">
        <f>TEXT(sales[[#This Row],[Date]],"ddd")</f>
        <v>Sat</v>
      </c>
    </row>
    <row r="125" spans="1:12" x14ac:dyDescent="0.3">
      <c r="A125">
        <v>10583</v>
      </c>
      <c r="B125" s="1">
        <v>44898</v>
      </c>
      <c r="C125" t="s">
        <v>14</v>
      </c>
      <c r="D125" s="4">
        <v>2.95</v>
      </c>
      <c r="E125" s="7">
        <v>677.97</v>
      </c>
      <c r="F125" s="4">
        <f t="shared" si="1"/>
        <v>2000.0115000000003</v>
      </c>
      <c r="G125" t="s">
        <v>10</v>
      </c>
      <c r="H125" t="s">
        <v>22</v>
      </c>
      <c r="I125" t="s">
        <v>38</v>
      </c>
      <c r="J125" t="s">
        <v>13</v>
      </c>
      <c r="K125" t="str">
        <f>TEXT(sales[[#This Row],[Date]],"mmm")</f>
        <v>Dec</v>
      </c>
      <c r="L125" t="str">
        <f>TEXT(sales[[#This Row],[Date]],"ddd")</f>
        <v>Sat</v>
      </c>
    </row>
    <row r="126" spans="1:12" x14ac:dyDescent="0.3">
      <c r="A126">
        <v>10584</v>
      </c>
      <c r="B126" s="1">
        <v>44898</v>
      </c>
      <c r="C126" t="s">
        <v>17</v>
      </c>
      <c r="D126" s="4">
        <v>4.99</v>
      </c>
      <c r="E126" s="7">
        <v>200.4</v>
      </c>
      <c r="F126" s="4">
        <f t="shared" si="1"/>
        <v>999.99600000000009</v>
      </c>
      <c r="G126" t="s">
        <v>10</v>
      </c>
      <c r="H126" t="s">
        <v>22</v>
      </c>
      <c r="I126" t="s">
        <v>38</v>
      </c>
      <c r="J126" t="s">
        <v>13</v>
      </c>
      <c r="K126" t="str">
        <f>TEXT(sales[[#This Row],[Date]],"mmm")</f>
        <v>Dec</v>
      </c>
      <c r="L126" t="str">
        <f>TEXT(sales[[#This Row],[Date]],"ddd")</f>
        <v>Sat</v>
      </c>
    </row>
    <row r="127" spans="1:12" x14ac:dyDescent="0.3">
      <c r="A127">
        <v>10585</v>
      </c>
      <c r="B127" s="1">
        <v>44899</v>
      </c>
      <c r="C127" t="s">
        <v>21</v>
      </c>
      <c r="D127" s="4">
        <v>12.99</v>
      </c>
      <c r="E127" s="7">
        <v>538.88</v>
      </c>
      <c r="F127" s="4">
        <f t="shared" si="1"/>
        <v>7000.0511999999999</v>
      </c>
      <c r="G127" t="s">
        <v>10</v>
      </c>
      <c r="H127" t="s">
        <v>22</v>
      </c>
      <c r="I127" t="s">
        <v>38</v>
      </c>
      <c r="J127" t="s">
        <v>13</v>
      </c>
      <c r="K127" t="str">
        <f>TEXT(sales[[#This Row],[Date]],"mmm")</f>
        <v>Dec</v>
      </c>
      <c r="L127" t="str">
        <f>TEXT(sales[[#This Row],[Date]],"ddd")</f>
        <v>Sun</v>
      </c>
    </row>
    <row r="128" spans="1:12" x14ac:dyDescent="0.3">
      <c r="A128">
        <v>10586</v>
      </c>
      <c r="B128" s="1">
        <v>44899</v>
      </c>
      <c r="C128" t="s">
        <v>25</v>
      </c>
      <c r="D128" s="4">
        <v>9.9499999999999993</v>
      </c>
      <c r="E128" s="7">
        <v>201.01</v>
      </c>
      <c r="F128" s="4">
        <f t="shared" si="1"/>
        <v>2000.0494999999999</v>
      </c>
      <c r="G128" t="s">
        <v>10</v>
      </c>
      <c r="H128" t="s">
        <v>22</v>
      </c>
      <c r="I128" t="s">
        <v>38</v>
      </c>
      <c r="J128" t="s">
        <v>13</v>
      </c>
      <c r="K128" t="str">
        <f>TEXT(sales[[#This Row],[Date]],"mmm")</f>
        <v>Dec</v>
      </c>
      <c r="L128" t="str">
        <f>TEXT(sales[[#This Row],[Date]],"ddd")</f>
        <v>Sun</v>
      </c>
    </row>
    <row r="129" spans="1:12" x14ac:dyDescent="0.3">
      <c r="A129">
        <v>10537</v>
      </c>
      <c r="B129" s="1">
        <v>44889</v>
      </c>
      <c r="C129" t="s">
        <v>9</v>
      </c>
      <c r="D129" s="4">
        <v>3.49</v>
      </c>
      <c r="E129" s="7">
        <v>630.37</v>
      </c>
      <c r="F129" s="4">
        <f t="shared" si="1"/>
        <v>2199.9913000000001</v>
      </c>
      <c r="G129" t="s">
        <v>36</v>
      </c>
      <c r="H129" t="s">
        <v>22</v>
      </c>
      <c r="I129" t="s">
        <v>31</v>
      </c>
      <c r="J129" t="s">
        <v>16</v>
      </c>
      <c r="K129" t="str">
        <f>TEXT(sales[[#This Row],[Date]],"mmm")</f>
        <v>Nov</v>
      </c>
      <c r="L129" t="str">
        <f>TEXT(sales[[#This Row],[Date]],"ddd")</f>
        <v>Thu</v>
      </c>
    </row>
    <row r="130" spans="1:12" x14ac:dyDescent="0.3">
      <c r="A130">
        <v>10538</v>
      </c>
      <c r="B130" s="1">
        <v>44889</v>
      </c>
      <c r="C130" t="s">
        <v>14</v>
      </c>
      <c r="D130" s="4">
        <v>2.95</v>
      </c>
      <c r="E130" s="7">
        <v>745.76</v>
      </c>
      <c r="F130" s="4">
        <f t="shared" ref="F130:F193" si="2">PRODUCT(D130,E130)</f>
        <v>2199.9920000000002</v>
      </c>
      <c r="G130" t="s">
        <v>36</v>
      </c>
      <c r="H130" t="s">
        <v>22</v>
      </c>
      <c r="I130" t="s">
        <v>31</v>
      </c>
      <c r="J130" t="s">
        <v>16</v>
      </c>
      <c r="K130" t="str">
        <f>TEXT(sales[[#This Row],[Date]],"mmm")</f>
        <v>Nov</v>
      </c>
      <c r="L130" t="str">
        <f>TEXT(sales[[#This Row],[Date]],"ddd")</f>
        <v>Thu</v>
      </c>
    </row>
    <row r="131" spans="1:12" x14ac:dyDescent="0.3">
      <c r="A131">
        <v>10539</v>
      </c>
      <c r="B131" s="1">
        <v>44889</v>
      </c>
      <c r="C131" t="s">
        <v>17</v>
      </c>
      <c r="D131" s="4">
        <v>4.99</v>
      </c>
      <c r="E131" s="7">
        <v>200.4</v>
      </c>
      <c r="F131" s="4">
        <f t="shared" si="2"/>
        <v>999.99600000000009</v>
      </c>
      <c r="G131" t="s">
        <v>36</v>
      </c>
      <c r="H131" t="s">
        <v>22</v>
      </c>
      <c r="I131" t="s">
        <v>31</v>
      </c>
      <c r="J131" t="s">
        <v>16</v>
      </c>
      <c r="K131" t="str">
        <f>TEXT(sales[[#This Row],[Date]],"mmm")</f>
        <v>Nov</v>
      </c>
      <c r="L131" t="str">
        <f>TEXT(sales[[#This Row],[Date]],"ddd")</f>
        <v>Thu</v>
      </c>
    </row>
    <row r="132" spans="1:12" x14ac:dyDescent="0.3">
      <c r="A132">
        <v>10590</v>
      </c>
      <c r="B132" s="1">
        <v>44900</v>
      </c>
      <c r="C132" t="s">
        <v>21</v>
      </c>
      <c r="D132" s="4">
        <v>12.99</v>
      </c>
      <c r="E132" s="7">
        <v>554.27</v>
      </c>
      <c r="F132" s="4">
        <f t="shared" si="2"/>
        <v>7199.9673000000003</v>
      </c>
      <c r="G132" t="s">
        <v>10</v>
      </c>
      <c r="H132" t="s">
        <v>22</v>
      </c>
      <c r="I132" t="s">
        <v>38</v>
      </c>
      <c r="J132" t="s">
        <v>13</v>
      </c>
      <c r="K132" t="str">
        <f>TEXT(sales[[#This Row],[Date]],"mmm")</f>
        <v>Dec</v>
      </c>
      <c r="L132" t="str">
        <f>TEXT(sales[[#This Row],[Date]],"ddd")</f>
        <v>Mon</v>
      </c>
    </row>
    <row r="133" spans="1:12" x14ac:dyDescent="0.3">
      <c r="A133">
        <v>10591</v>
      </c>
      <c r="B133" s="1">
        <v>44900</v>
      </c>
      <c r="C133" t="s">
        <v>25</v>
      </c>
      <c r="D133" s="4">
        <v>9.9499999999999993</v>
      </c>
      <c r="E133" s="7">
        <v>201.01</v>
      </c>
      <c r="F133" s="4">
        <f t="shared" si="2"/>
        <v>2000.0494999999999</v>
      </c>
      <c r="G133" t="s">
        <v>10</v>
      </c>
      <c r="H133" t="s">
        <v>22</v>
      </c>
      <c r="I133" t="s">
        <v>38</v>
      </c>
      <c r="J133" t="s">
        <v>13</v>
      </c>
      <c r="K133" t="str">
        <f>TEXT(sales[[#This Row],[Date]],"mmm")</f>
        <v>Dec</v>
      </c>
      <c r="L133" t="str">
        <f>TEXT(sales[[#This Row],[Date]],"ddd")</f>
        <v>Mon</v>
      </c>
    </row>
    <row r="134" spans="1:12" x14ac:dyDescent="0.3">
      <c r="A134">
        <v>10592</v>
      </c>
      <c r="B134" s="1">
        <v>44900</v>
      </c>
      <c r="C134" t="s">
        <v>9</v>
      </c>
      <c r="D134" s="4">
        <v>3.49</v>
      </c>
      <c r="E134" s="7">
        <v>573.07000000000005</v>
      </c>
      <c r="F134" s="4">
        <f t="shared" si="2"/>
        <v>2000.0143000000003</v>
      </c>
      <c r="G134" t="s">
        <v>10</v>
      </c>
      <c r="H134" t="s">
        <v>22</v>
      </c>
      <c r="I134" t="s">
        <v>38</v>
      </c>
      <c r="J134" t="s">
        <v>13</v>
      </c>
      <c r="K134" t="str">
        <f>TEXT(sales[[#This Row],[Date]],"mmm")</f>
        <v>Dec</v>
      </c>
      <c r="L134" t="str">
        <f>TEXT(sales[[#This Row],[Date]],"ddd")</f>
        <v>Mon</v>
      </c>
    </row>
    <row r="135" spans="1:12" x14ac:dyDescent="0.3">
      <c r="A135">
        <v>10593</v>
      </c>
      <c r="B135" s="1">
        <v>44900</v>
      </c>
      <c r="C135" t="s">
        <v>14</v>
      </c>
      <c r="D135" s="4">
        <v>2.95</v>
      </c>
      <c r="E135" s="7">
        <v>677.97</v>
      </c>
      <c r="F135" s="4">
        <f t="shared" si="2"/>
        <v>2000.0115000000003</v>
      </c>
      <c r="G135" t="s">
        <v>10</v>
      </c>
      <c r="H135" t="s">
        <v>22</v>
      </c>
      <c r="I135" t="s">
        <v>38</v>
      </c>
      <c r="J135" t="s">
        <v>13</v>
      </c>
      <c r="K135" t="str">
        <f>TEXT(sales[[#This Row],[Date]],"mmm")</f>
        <v>Dec</v>
      </c>
      <c r="L135" t="str">
        <f>TEXT(sales[[#This Row],[Date]],"ddd")</f>
        <v>Mon</v>
      </c>
    </row>
    <row r="136" spans="1:12" x14ac:dyDescent="0.3">
      <c r="A136">
        <v>10594</v>
      </c>
      <c r="B136" s="1">
        <v>44900</v>
      </c>
      <c r="C136" t="s">
        <v>17</v>
      </c>
      <c r="D136" s="4">
        <v>4.99</v>
      </c>
      <c r="E136" s="7">
        <v>200.4</v>
      </c>
      <c r="F136" s="4">
        <f t="shared" si="2"/>
        <v>999.99600000000009</v>
      </c>
      <c r="G136" t="s">
        <v>10</v>
      </c>
      <c r="H136" t="s">
        <v>22</v>
      </c>
      <c r="I136" t="s">
        <v>38</v>
      </c>
      <c r="J136" t="s">
        <v>13</v>
      </c>
      <c r="K136" t="str">
        <f>TEXT(sales[[#This Row],[Date]],"mmm")</f>
        <v>Dec</v>
      </c>
      <c r="L136" t="str">
        <f>TEXT(sales[[#This Row],[Date]],"ddd")</f>
        <v>Mon</v>
      </c>
    </row>
    <row r="137" spans="1:12" x14ac:dyDescent="0.3">
      <c r="A137">
        <v>10595</v>
      </c>
      <c r="B137" s="1">
        <v>44901</v>
      </c>
      <c r="C137" t="s">
        <v>21</v>
      </c>
      <c r="D137" s="4">
        <v>12.99</v>
      </c>
      <c r="E137" s="7">
        <v>538.88</v>
      </c>
      <c r="F137" s="4">
        <f t="shared" si="2"/>
        <v>7000.0511999999999</v>
      </c>
      <c r="G137" t="s">
        <v>10</v>
      </c>
      <c r="H137" t="s">
        <v>22</v>
      </c>
      <c r="I137" t="s">
        <v>38</v>
      </c>
      <c r="J137" t="s">
        <v>13</v>
      </c>
      <c r="K137" t="str">
        <f>TEXT(sales[[#This Row],[Date]],"mmm")</f>
        <v>Dec</v>
      </c>
      <c r="L137" t="str">
        <f>TEXT(sales[[#This Row],[Date]],"ddd")</f>
        <v>Tue</v>
      </c>
    </row>
    <row r="138" spans="1:12" x14ac:dyDescent="0.3">
      <c r="A138">
        <v>10596</v>
      </c>
      <c r="B138" s="1">
        <v>44901</v>
      </c>
      <c r="C138" t="s">
        <v>25</v>
      </c>
      <c r="D138" s="4">
        <v>9.9499999999999993</v>
      </c>
      <c r="E138" s="7">
        <v>201.01</v>
      </c>
      <c r="F138" s="4">
        <f t="shared" si="2"/>
        <v>2000.0494999999999</v>
      </c>
      <c r="G138" t="s">
        <v>10</v>
      </c>
      <c r="H138" t="s">
        <v>22</v>
      </c>
      <c r="I138" t="s">
        <v>38</v>
      </c>
      <c r="J138" t="s">
        <v>13</v>
      </c>
      <c r="K138" t="str">
        <f>TEXT(sales[[#This Row],[Date]],"mmm")</f>
        <v>Dec</v>
      </c>
      <c r="L138" t="str">
        <f>TEXT(sales[[#This Row],[Date]],"ddd")</f>
        <v>Tue</v>
      </c>
    </row>
    <row r="139" spans="1:12" x14ac:dyDescent="0.3">
      <c r="A139">
        <v>10597</v>
      </c>
      <c r="B139" s="1">
        <v>44901</v>
      </c>
      <c r="C139" t="s">
        <v>9</v>
      </c>
      <c r="D139" s="4">
        <v>3.49</v>
      </c>
      <c r="E139" s="7">
        <v>573.07000000000005</v>
      </c>
      <c r="F139" s="4">
        <f t="shared" si="2"/>
        <v>2000.0143000000003</v>
      </c>
      <c r="G139" t="s">
        <v>10</v>
      </c>
      <c r="H139" t="s">
        <v>22</v>
      </c>
      <c r="I139" t="s">
        <v>38</v>
      </c>
      <c r="J139" t="s">
        <v>13</v>
      </c>
      <c r="K139" t="str">
        <f>TEXT(sales[[#This Row],[Date]],"mmm")</f>
        <v>Dec</v>
      </c>
      <c r="L139" t="str">
        <f>TEXT(sales[[#This Row],[Date]],"ddd")</f>
        <v>Tue</v>
      </c>
    </row>
    <row r="140" spans="1:12" x14ac:dyDescent="0.3">
      <c r="A140">
        <v>10598</v>
      </c>
      <c r="B140" s="1">
        <v>44901</v>
      </c>
      <c r="C140" t="s">
        <v>14</v>
      </c>
      <c r="D140" s="4">
        <v>2.95</v>
      </c>
      <c r="E140" s="7">
        <v>677.97</v>
      </c>
      <c r="F140" s="4">
        <f t="shared" si="2"/>
        <v>2000.0115000000003</v>
      </c>
      <c r="G140" t="s">
        <v>10</v>
      </c>
      <c r="H140" t="s">
        <v>22</v>
      </c>
      <c r="I140" t="s">
        <v>38</v>
      </c>
      <c r="J140" t="s">
        <v>13</v>
      </c>
      <c r="K140" t="str">
        <f>TEXT(sales[[#This Row],[Date]],"mmm")</f>
        <v>Dec</v>
      </c>
      <c r="L140" t="str">
        <f>TEXT(sales[[#This Row],[Date]],"ddd")</f>
        <v>Tue</v>
      </c>
    </row>
    <row r="141" spans="1:12" x14ac:dyDescent="0.3">
      <c r="A141">
        <v>10599</v>
      </c>
      <c r="B141" s="1">
        <v>44901</v>
      </c>
      <c r="C141" t="s">
        <v>17</v>
      </c>
      <c r="D141" s="4">
        <v>4.99</v>
      </c>
      <c r="E141" s="7">
        <v>200.4</v>
      </c>
      <c r="F141" s="4">
        <f t="shared" si="2"/>
        <v>999.99600000000009</v>
      </c>
      <c r="G141" t="s">
        <v>10</v>
      </c>
      <c r="H141" t="s">
        <v>22</v>
      </c>
      <c r="I141" t="s">
        <v>38</v>
      </c>
      <c r="J141" t="s">
        <v>13</v>
      </c>
      <c r="K141" t="str">
        <f>TEXT(sales[[#This Row],[Date]],"mmm")</f>
        <v>Dec</v>
      </c>
      <c r="L141" t="str">
        <f>TEXT(sales[[#This Row],[Date]],"ddd")</f>
        <v>Tue</v>
      </c>
    </row>
    <row r="142" spans="1:12" x14ac:dyDescent="0.3">
      <c r="A142">
        <v>10600</v>
      </c>
      <c r="B142" s="1">
        <v>44902</v>
      </c>
      <c r="C142" t="s">
        <v>21</v>
      </c>
      <c r="D142" s="4">
        <v>12.99</v>
      </c>
      <c r="E142" s="7">
        <v>523.48</v>
      </c>
      <c r="F142" s="4">
        <f t="shared" si="2"/>
        <v>6800.0052000000005</v>
      </c>
      <c r="G142" t="s">
        <v>10</v>
      </c>
      <c r="H142" t="s">
        <v>22</v>
      </c>
      <c r="I142" t="s">
        <v>38</v>
      </c>
      <c r="J142" t="s">
        <v>13</v>
      </c>
      <c r="K142" t="str">
        <f>TEXT(sales[[#This Row],[Date]],"mmm")</f>
        <v>Dec</v>
      </c>
      <c r="L142" t="str">
        <f>TEXT(sales[[#This Row],[Date]],"ddd")</f>
        <v>Wed</v>
      </c>
    </row>
    <row r="143" spans="1:12" x14ac:dyDescent="0.3">
      <c r="A143">
        <v>10601</v>
      </c>
      <c r="B143" s="1">
        <v>44902</v>
      </c>
      <c r="C143" t="s">
        <v>25</v>
      </c>
      <c r="D143" s="4">
        <v>9.9499999999999993</v>
      </c>
      <c r="E143" s="7">
        <v>201.01</v>
      </c>
      <c r="F143" s="4">
        <f t="shared" si="2"/>
        <v>2000.0494999999999</v>
      </c>
      <c r="G143" t="s">
        <v>10</v>
      </c>
      <c r="H143" t="s">
        <v>22</v>
      </c>
      <c r="I143" t="s">
        <v>38</v>
      </c>
      <c r="J143" t="s">
        <v>13</v>
      </c>
      <c r="K143" t="str">
        <f>TEXT(sales[[#This Row],[Date]],"mmm")</f>
        <v>Dec</v>
      </c>
      <c r="L143" t="str">
        <f>TEXT(sales[[#This Row],[Date]],"ddd")</f>
        <v>Wed</v>
      </c>
    </row>
    <row r="144" spans="1:12" x14ac:dyDescent="0.3">
      <c r="A144">
        <v>10602</v>
      </c>
      <c r="B144" s="1">
        <v>44902</v>
      </c>
      <c r="C144" t="s">
        <v>9</v>
      </c>
      <c r="D144" s="4">
        <v>3.49</v>
      </c>
      <c r="E144" s="7">
        <v>630.37</v>
      </c>
      <c r="F144" s="4">
        <f t="shared" si="2"/>
        <v>2199.9913000000001</v>
      </c>
      <c r="G144" t="s">
        <v>10</v>
      </c>
      <c r="H144" t="s">
        <v>37</v>
      </c>
      <c r="I144" t="s">
        <v>38</v>
      </c>
      <c r="J144" t="s">
        <v>13</v>
      </c>
      <c r="K144" t="str">
        <f>TEXT(sales[[#This Row],[Date]],"mmm")</f>
        <v>Dec</v>
      </c>
      <c r="L144" t="str">
        <f>TEXT(sales[[#This Row],[Date]],"ddd")</f>
        <v>Wed</v>
      </c>
    </row>
    <row r="145" spans="1:12" x14ac:dyDescent="0.3">
      <c r="A145">
        <v>10603</v>
      </c>
      <c r="B145" s="1">
        <v>44902</v>
      </c>
      <c r="C145" t="s">
        <v>14</v>
      </c>
      <c r="D145" s="4">
        <v>2.95</v>
      </c>
      <c r="E145" s="7">
        <v>677.97</v>
      </c>
      <c r="F145" s="4">
        <f t="shared" si="2"/>
        <v>2000.0115000000003</v>
      </c>
      <c r="G145" t="s">
        <v>10</v>
      </c>
      <c r="H145" t="s">
        <v>37</v>
      </c>
      <c r="I145" t="s">
        <v>38</v>
      </c>
      <c r="J145" t="s">
        <v>13</v>
      </c>
      <c r="K145" t="str">
        <f>TEXT(sales[[#This Row],[Date]],"mmm")</f>
        <v>Dec</v>
      </c>
      <c r="L145" t="str">
        <f>TEXT(sales[[#This Row],[Date]],"ddd")</f>
        <v>Wed</v>
      </c>
    </row>
    <row r="146" spans="1:12" x14ac:dyDescent="0.3">
      <c r="A146">
        <v>10604</v>
      </c>
      <c r="B146" s="1">
        <v>44902</v>
      </c>
      <c r="C146" t="s">
        <v>17</v>
      </c>
      <c r="D146" s="4">
        <v>4.99</v>
      </c>
      <c r="E146" s="7">
        <v>200.4</v>
      </c>
      <c r="F146" s="4">
        <f t="shared" si="2"/>
        <v>999.99600000000009</v>
      </c>
      <c r="G146" t="s">
        <v>10</v>
      </c>
      <c r="H146" t="s">
        <v>37</v>
      </c>
      <c r="I146" t="s">
        <v>38</v>
      </c>
      <c r="J146" t="s">
        <v>13</v>
      </c>
      <c r="K146" t="str">
        <f>TEXT(sales[[#This Row],[Date]],"mmm")</f>
        <v>Dec</v>
      </c>
      <c r="L146" t="str">
        <f>TEXT(sales[[#This Row],[Date]],"ddd")</f>
        <v>Wed</v>
      </c>
    </row>
    <row r="147" spans="1:12" x14ac:dyDescent="0.3">
      <c r="A147">
        <v>10605</v>
      </c>
      <c r="B147" s="1">
        <v>44903</v>
      </c>
      <c r="C147" t="s">
        <v>21</v>
      </c>
      <c r="D147" s="4">
        <v>12.99</v>
      </c>
      <c r="E147" s="7">
        <v>538.88</v>
      </c>
      <c r="F147" s="4">
        <f t="shared" si="2"/>
        <v>7000.0511999999999</v>
      </c>
      <c r="G147" t="s">
        <v>10</v>
      </c>
      <c r="H147" t="s">
        <v>37</v>
      </c>
      <c r="I147" t="s">
        <v>38</v>
      </c>
      <c r="J147" t="s">
        <v>13</v>
      </c>
      <c r="K147" t="str">
        <f>TEXT(sales[[#This Row],[Date]],"mmm")</f>
        <v>Dec</v>
      </c>
      <c r="L147" t="str">
        <f>TEXT(sales[[#This Row],[Date]],"ddd")</f>
        <v>Thu</v>
      </c>
    </row>
    <row r="148" spans="1:12" x14ac:dyDescent="0.3">
      <c r="A148">
        <v>10606</v>
      </c>
      <c r="B148" s="1">
        <v>44903</v>
      </c>
      <c r="C148" t="s">
        <v>25</v>
      </c>
      <c r="D148" s="4">
        <v>9.9499999999999993</v>
      </c>
      <c r="E148" s="7">
        <v>201.01</v>
      </c>
      <c r="F148" s="4">
        <f t="shared" si="2"/>
        <v>2000.0494999999999</v>
      </c>
      <c r="G148" t="s">
        <v>10</v>
      </c>
      <c r="H148" t="s">
        <v>37</v>
      </c>
      <c r="I148" t="s">
        <v>38</v>
      </c>
      <c r="J148" t="s">
        <v>13</v>
      </c>
      <c r="K148" t="str">
        <f>TEXT(sales[[#This Row],[Date]],"mmm")</f>
        <v>Dec</v>
      </c>
      <c r="L148" t="str">
        <f>TEXT(sales[[#This Row],[Date]],"ddd")</f>
        <v>Thu</v>
      </c>
    </row>
    <row r="149" spans="1:12" x14ac:dyDescent="0.3">
      <c r="A149">
        <v>10607</v>
      </c>
      <c r="B149" s="1">
        <v>44903</v>
      </c>
      <c r="C149" t="s">
        <v>9</v>
      </c>
      <c r="D149" s="4">
        <v>3.49</v>
      </c>
      <c r="E149" s="7">
        <v>630.37</v>
      </c>
      <c r="F149" s="4">
        <f t="shared" si="2"/>
        <v>2199.9913000000001</v>
      </c>
      <c r="G149" t="s">
        <v>10</v>
      </c>
      <c r="H149" t="s">
        <v>37</v>
      </c>
      <c r="I149" t="s">
        <v>38</v>
      </c>
      <c r="J149" t="s">
        <v>13</v>
      </c>
      <c r="K149" t="str">
        <f>TEXT(sales[[#This Row],[Date]],"mmm")</f>
        <v>Dec</v>
      </c>
      <c r="L149" t="str">
        <f>TEXT(sales[[#This Row],[Date]],"ddd")</f>
        <v>Thu</v>
      </c>
    </row>
    <row r="150" spans="1:12" x14ac:dyDescent="0.3">
      <c r="A150">
        <v>10608</v>
      </c>
      <c r="B150" s="1">
        <v>44903</v>
      </c>
      <c r="C150" t="s">
        <v>14</v>
      </c>
      <c r="D150" s="4">
        <v>2.95</v>
      </c>
      <c r="E150" s="7">
        <v>677.97</v>
      </c>
      <c r="F150" s="4">
        <f t="shared" si="2"/>
        <v>2000.0115000000003</v>
      </c>
      <c r="G150" t="s">
        <v>10</v>
      </c>
      <c r="H150" t="s">
        <v>11</v>
      </c>
      <c r="I150" t="s">
        <v>38</v>
      </c>
      <c r="J150" t="s">
        <v>13</v>
      </c>
      <c r="K150" t="str">
        <f>TEXT(sales[[#This Row],[Date]],"mmm")</f>
        <v>Dec</v>
      </c>
      <c r="L150" t="str">
        <f>TEXT(sales[[#This Row],[Date]],"ddd")</f>
        <v>Thu</v>
      </c>
    </row>
    <row r="151" spans="1:12" x14ac:dyDescent="0.3">
      <c r="A151">
        <v>10609</v>
      </c>
      <c r="B151" s="1">
        <v>44903</v>
      </c>
      <c r="C151" t="s">
        <v>17</v>
      </c>
      <c r="D151" s="4">
        <v>4.99</v>
      </c>
      <c r="E151" s="7">
        <v>200.4</v>
      </c>
      <c r="F151" s="4">
        <f t="shared" si="2"/>
        <v>999.99600000000009</v>
      </c>
      <c r="G151" t="s">
        <v>10</v>
      </c>
      <c r="H151" t="s">
        <v>11</v>
      </c>
      <c r="I151" t="s">
        <v>38</v>
      </c>
      <c r="J151" t="s">
        <v>13</v>
      </c>
      <c r="K151" t="str">
        <f>TEXT(sales[[#This Row],[Date]],"mmm")</f>
        <v>Dec</v>
      </c>
      <c r="L151" t="str">
        <f>TEXT(sales[[#This Row],[Date]],"ddd")</f>
        <v>Thu</v>
      </c>
    </row>
    <row r="152" spans="1:12" x14ac:dyDescent="0.3">
      <c r="A152">
        <v>10610</v>
      </c>
      <c r="B152" s="1">
        <v>44904</v>
      </c>
      <c r="C152" t="s">
        <v>21</v>
      </c>
      <c r="D152" s="4">
        <v>12.99</v>
      </c>
      <c r="E152" s="7">
        <v>569.66999999999996</v>
      </c>
      <c r="F152" s="4">
        <f t="shared" si="2"/>
        <v>7400.0132999999996</v>
      </c>
      <c r="G152" t="s">
        <v>10</v>
      </c>
      <c r="H152" t="s">
        <v>11</v>
      </c>
      <c r="I152" t="s">
        <v>38</v>
      </c>
      <c r="J152" t="s">
        <v>13</v>
      </c>
      <c r="K152" t="str">
        <f>TEXT(sales[[#This Row],[Date]],"mmm")</f>
        <v>Dec</v>
      </c>
      <c r="L152" t="str">
        <f>TEXT(sales[[#This Row],[Date]],"ddd")</f>
        <v>Fri</v>
      </c>
    </row>
    <row r="153" spans="1:12" x14ac:dyDescent="0.3">
      <c r="A153">
        <v>10611</v>
      </c>
      <c r="B153" s="1">
        <v>44904</v>
      </c>
      <c r="C153" t="s">
        <v>25</v>
      </c>
      <c r="D153" s="4">
        <v>9.9499999999999993</v>
      </c>
      <c r="E153" s="7">
        <v>201.01</v>
      </c>
      <c r="F153" s="4">
        <f t="shared" si="2"/>
        <v>2000.0494999999999</v>
      </c>
      <c r="G153" t="s">
        <v>10</v>
      </c>
      <c r="H153" t="s">
        <v>11</v>
      </c>
      <c r="I153" t="s">
        <v>38</v>
      </c>
      <c r="J153" t="s">
        <v>13</v>
      </c>
      <c r="K153" t="str">
        <f>TEXT(sales[[#This Row],[Date]],"mmm")</f>
        <v>Dec</v>
      </c>
      <c r="L153" t="str">
        <f>TEXT(sales[[#This Row],[Date]],"ddd")</f>
        <v>Fri</v>
      </c>
    </row>
    <row r="154" spans="1:12" x14ac:dyDescent="0.3">
      <c r="A154">
        <v>10612</v>
      </c>
      <c r="B154" s="1">
        <v>44904</v>
      </c>
      <c r="C154" t="s">
        <v>9</v>
      </c>
      <c r="D154" s="4">
        <v>3.49</v>
      </c>
      <c r="E154" s="7">
        <v>630.37</v>
      </c>
      <c r="F154" s="4">
        <f t="shared" si="2"/>
        <v>2199.9913000000001</v>
      </c>
      <c r="G154" t="s">
        <v>10</v>
      </c>
      <c r="H154" t="s">
        <v>11</v>
      </c>
      <c r="I154" t="s">
        <v>38</v>
      </c>
      <c r="J154" t="s">
        <v>13</v>
      </c>
      <c r="K154" t="str">
        <f>TEXT(sales[[#This Row],[Date]],"mmm")</f>
        <v>Dec</v>
      </c>
      <c r="L154" t="str">
        <f>TEXT(sales[[#This Row],[Date]],"ddd")</f>
        <v>Fri</v>
      </c>
    </row>
    <row r="155" spans="1:12" x14ac:dyDescent="0.3">
      <c r="A155">
        <v>10613</v>
      </c>
      <c r="B155" s="1">
        <v>44904</v>
      </c>
      <c r="C155" t="s">
        <v>14</v>
      </c>
      <c r="D155" s="4">
        <v>2.95</v>
      </c>
      <c r="E155" s="7">
        <v>677.97</v>
      </c>
      <c r="F155" s="4">
        <f t="shared" si="2"/>
        <v>2000.0115000000003</v>
      </c>
      <c r="G155" t="s">
        <v>10</v>
      </c>
      <c r="H155" t="s">
        <v>11</v>
      </c>
      <c r="I155" t="s">
        <v>38</v>
      </c>
      <c r="J155" t="s">
        <v>13</v>
      </c>
      <c r="K155" t="str">
        <f>TEXT(sales[[#This Row],[Date]],"mmm")</f>
        <v>Dec</v>
      </c>
      <c r="L155" t="str">
        <f>TEXT(sales[[#This Row],[Date]],"ddd")</f>
        <v>Fri</v>
      </c>
    </row>
    <row r="156" spans="1:12" x14ac:dyDescent="0.3">
      <c r="A156">
        <v>10614</v>
      </c>
      <c r="B156" s="1">
        <v>44904</v>
      </c>
      <c r="C156" t="s">
        <v>17</v>
      </c>
      <c r="D156" s="4">
        <v>4.99</v>
      </c>
      <c r="E156" s="7">
        <v>200.4</v>
      </c>
      <c r="F156" s="4">
        <f t="shared" si="2"/>
        <v>999.99600000000009</v>
      </c>
      <c r="G156" t="s">
        <v>10</v>
      </c>
      <c r="H156" t="s">
        <v>11</v>
      </c>
      <c r="I156" t="s">
        <v>38</v>
      </c>
      <c r="J156" t="s">
        <v>13</v>
      </c>
      <c r="K156" t="str">
        <f>TEXT(sales[[#This Row],[Date]],"mmm")</f>
        <v>Dec</v>
      </c>
      <c r="L156" t="str">
        <f>TEXT(sales[[#This Row],[Date]],"ddd")</f>
        <v>Fri</v>
      </c>
    </row>
    <row r="157" spans="1:12" x14ac:dyDescent="0.3">
      <c r="A157">
        <v>10615</v>
      </c>
      <c r="B157" s="1">
        <v>44905</v>
      </c>
      <c r="C157" t="s">
        <v>21</v>
      </c>
      <c r="D157" s="4">
        <v>12.99</v>
      </c>
      <c r="E157" s="7">
        <v>569.66999999999996</v>
      </c>
      <c r="F157" s="4">
        <f t="shared" si="2"/>
        <v>7400.0132999999996</v>
      </c>
      <c r="G157" t="s">
        <v>10</v>
      </c>
      <c r="H157" t="s">
        <v>11</v>
      </c>
      <c r="I157" t="s">
        <v>38</v>
      </c>
      <c r="J157" t="s">
        <v>13</v>
      </c>
      <c r="K157" t="str">
        <f>TEXT(sales[[#This Row],[Date]],"mmm")</f>
        <v>Dec</v>
      </c>
      <c r="L157" t="str">
        <f>TEXT(sales[[#This Row],[Date]],"ddd")</f>
        <v>Sat</v>
      </c>
    </row>
    <row r="158" spans="1:12" x14ac:dyDescent="0.3">
      <c r="A158">
        <v>10616</v>
      </c>
      <c r="B158" s="1">
        <v>44905</v>
      </c>
      <c r="C158" t="s">
        <v>25</v>
      </c>
      <c r="D158" s="4">
        <v>9.9499999999999993</v>
      </c>
      <c r="E158" s="7">
        <v>201.01</v>
      </c>
      <c r="F158" s="4">
        <f t="shared" si="2"/>
        <v>2000.0494999999999</v>
      </c>
      <c r="G158" t="s">
        <v>10</v>
      </c>
      <c r="H158" t="s">
        <v>11</v>
      </c>
      <c r="I158" t="s">
        <v>38</v>
      </c>
      <c r="J158" t="s">
        <v>13</v>
      </c>
      <c r="K158" t="str">
        <f>TEXT(sales[[#This Row],[Date]],"mmm")</f>
        <v>Dec</v>
      </c>
      <c r="L158" t="str">
        <f>TEXT(sales[[#This Row],[Date]],"ddd")</f>
        <v>Sat</v>
      </c>
    </row>
    <row r="159" spans="1:12" x14ac:dyDescent="0.3">
      <c r="A159">
        <v>10617</v>
      </c>
      <c r="B159" s="1">
        <v>44905</v>
      </c>
      <c r="C159" t="s">
        <v>9</v>
      </c>
      <c r="D159" s="4">
        <v>3.49</v>
      </c>
      <c r="E159" s="7">
        <v>630.37</v>
      </c>
      <c r="F159" s="4">
        <f t="shared" si="2"/>
        <v>2199.9913000000001</v>
      </c>
      <c r="G159" t="s">
        <v>10</v>
      </c>
      <c r="H159" t="s">
        <v>11</v>
      </c>
      <c r="I159" t="s">
        <v>38</v>
      </c>
      <c r="J159" t="s">
        <v>13</v>
      </c>
      <c r="K159" t="str">
        <f>TEXT(sales[[#This Row],[Date]],"mmm")</f>
        <v>Dec</v>
      </c>
      <c r="L159" t="str">
        <f>TEXT(sales[[#This Row],[Date]],"ddd")</f>
        <v>Sat</v>
      </c>
    </row>
    <row r="160" spans="1:12" x14ac:dyDescent="0.3">
      <c r="A160">
        <v>10618</v>
      </c>
      <c r="B160" s="1">
        <v>44905</v>
      </c>
      <c r="C160" t="s">
        <v>14</v>
      </c>
      <c r="D160" s="4">
        <v>2.95</v>
      </c>
      <c r="E160" s="7">
        <v>677.97</v>
      </c>
      <c r="F160" s="4">
        <f t="shared" si="2"/>
        <v>2000.0115000000003</v>
      </c>
      <c r="G160" t="s">
        <v>10</v>
      </c>
      <c r="H160" t="s">
        <v>11</v>
      </c>
      <c r="I160" t="s">
        <v>38</v>
      </c>
      <c r="J160" t="s">
        <v>13</v>
      </c>
      <c r="K160" t="str">
        <f>TEXT(sales[[#This Row],[Date]],"mmm")</f>
        <v>Dec</v>
      </c>
      <c r="L160" t="str">
        <f>TEXT(sales[[#This Row],[Date]],"ddd")</f>
        <v>Sat</v>
      </c>
    </row>
    <row r="161" spans="1:12" x14ac:dyDescent="0.3">
      <c r="A161">
        <v>10619</v>
      </c>
      <c r="B161" s="1">
        <v>44905</v>
      </c>
      <c r="C161" t="s">
        <v>17</v>
      </c>
      <c r="D161" s="4">
        <v>4.99</v>
      </c>
      <c r="E161" s="7">
        <v>200.4</v>
      </c>
      <c r="F161" s="4">
        <f t="shared" si="2"/>
        <v>999.99600000000009</v>
      </c>
      <c r="G161" t="s">
        <v>10</v>
      </c>
      <c r="H161" t="s">
        <v>11</v>
      </c>
      <c r="I161" t="s">
        <v>38</v>
      </c>
      <c r="J161" t="s">
        <v>13</v>
      </c>
      <c r="K161" t="str">
        <f>TEXT(sales[[#This Row],[Date]],"mmm")</f>
        <v>Dec</v>
      </c>
      <c r="L161" t="str">
        <f>TEXT(sales[[#This Row],[Date]],"ddd")</f>
        <v>Sat</v>
      </c>
    </row>
    <row r="162" spans="1:12" x14ac:dyDescent="0.3">
      <c r="A162">
        <v>10620</v>
      </c>
      <c r="B162" s="1">
        <v>44906</v>
      </c>
      <c r="C162" t="s">
        <v>21</v>
      </c>
      <c r="D162" s="4">
        <v>12.99</v>
      </c>
      <c r="E162" s="7">
        <v>585.07000000000005</v>
      </c>
      <c r="F162" s="4">
        <f t="shared" si="2"/>
        <v>7600.0593000000008</v>
      </c>
      <c r="G162" t="s">
        <v>10</v>
      </c>
      <c r="H162" t="s">
        <v>11</v>
      </c>
      <c r="I162" t="s">
        <v>38</v>
      </c>
      <c r="J162" t="s">
        <v>13</v>
      </c>
      <c r="K162" t="str">
        <f>TEXT(sales[[#This Row],[Date]],"mmm")</f>
        <v>Dec</v>
      </c>
      <c r="L162" t="str">
        <f>TEXT(sales[[#This Row],[Date]],"ddd")</f>
        <v>Sun</v>
      </c>
    </row>
    <row r="163" spans="1:12" x14ac:dyDescent="0.3">
      <c r="A163">
        <v>10621</v>
      </c>
      <c r="B163" s="1">
        <v>44906</v>
      </c>
      <c r="C163" t="s">
        <v>25</v>
      </c>
      <c r="D163" s="4">
        <v>9.9499999999999993</v>
      </c>
      <c r="E163" s="7">
        <v>201.01</v>
      </c>
      <c r="F163" s="4">
        <f t="shared" si="2"/>
        <v>2000.0494999999999</v>
      </c>
      <c r="G163" t="s">
        <v>10</v>
      </c>
      <c r="H163" t="s">
        <v>11</v>
      </c>
      <c r="I163" t="s">
        <v>38</v>
      </c>
      <c r="J163" t="s">
        <v>13</v>
      </c>
      <c r="K163" t="str">
        <f>TEXT(sales[[#This Row],[Date]],"mmm")</f>
        <v>Dec</v>
      </c>
      <c r="L163" t="str">
        <f>TEXT(sales[[#This Row],[Date]],"ddd")</f>
        <v>Sun</v>
      </c>
    </row>
    <row r="164" spans="1:12" x14ac:dyDescent="0.3">
      <c r="A164">
        <v>10622</v>
      </c>
      <c r="B164" s="1">
        <v>44906</v>
      </c>
      <c r="C164" t="s">
        <v>9</v>
      </c>
      <c r="D164" s="4">
        <v>3.49</v>
      </c>
      <c r="E164" s="7">
        <v>630.37</v>
      </c>
      <c r="F164" s="4">
        <f t="shared" si="2"/>
        <v>2199.9913000000001</v>
      </c>
      <c r="G164" t="s">
        <v>10</v>
      </c>
      <c r="H164" t="s">
        <v>11</v>
      </c>
      <c r="I164" t="s">
        <v>38</v>
      </c>
      <c r="J164" t="s">
        <v>13</v>
      </c>
      <c r="K164" t="str">
        <f>TEXT(sales[[#This Row],[Date]],"mmm")</f>
        <v>Dec</v>
      </c>
      <c r="L164" t="str">
        <f>TEXT(sales[[#This Row],[Date]],"ddd")</f>
        <v>Sun</v>
      </c>
    </row>
    <row r="165" spans="1:12" x14ac:dyDescent="0.3">
      <c r="A165">
        <v>10623</v>
      </c>
      <c r="B165" s="1">
        <v>44906</v>
      </c>
      <c r="C165" t="s">
        <v>14</v>
      </c>
      <c r="D165" s="4">
        <v>2.95</v>
      </c>
      <c r="E165" s="7">
        <v>745.76</v>
      </c>
      <c r="F165" s="4">
        <f t="shared" si="2"/>
        <v>2199.9920000000002</v>
      </c>
      <c r="G165" t="s">
        <v>10</v>
      </c>
      <c r="H165" t="s">
        <v>11</v>
      </c>
      <c r="I165" t="s">
        <v>38</v>
      </c>
      <c r="J165" t="s">
        <v>13</v>
      </c>
      <c r="K165" t="str">
        <f>TEXT(sales[[#This Row],[Date]],"mmm")</f>
        <v>Dec</v>
      </c>
      <c r="L165" t="str">
        <f>TEXT(sales[[#This Row],[Date]],"ddd")</f>
        <v>Sun</v>
      </c>
    </row>
    <row r="166" spans="1:12" x14ac:dyDescent="0.3">
      <c r="A166">
        <v>10624</v>
      </c>
      <c r="B166" s="1">
        <v>44906</v>
      </c>
      <c r="C166" t="s">
        <v>17</v>
      </c>
      <c r="D166" s="4">
        <v>4.99</v>
      </c>
      <c r="E166" s="7">
        <v>200.4</v>
      </c>
      <c r="F166" s="4">
        <f t="shared" si="2"/>
        <v>999.99600000000009</v>
      </c>
      <c r="G166" t="s">
        <v>10</v>
      </c>
      <c r="H166" t="s">
        <v>11</v>
      </c>
      <c r="I166" t="s">
        <v>38</v>
      </c>
      <c r="J166" t="s">
        <v>13</v>
      </c>
      <c r="K166" t="str">
        <f>TEXT(sales[[#This Row],[Date]],"mmm")</f>
        <v>Dec</v>
      </c>
      <c r="L166" t="str">
        <f>TEXT(sales[[#This Row],[Date]],"ddd")</f>
        <v>Sun</v>
      </c>
    </row>
    <row r="167" spans="1:12" x14ac:dyDescent="0.3">
      <c r="A167">
        <v>10625</v>
      </c>
      <c r="B167" s="1">
        <v>44907</v>
      </c>
      <c r="C167" t="s">
        <v>21</v>
      </c>
      <c r="D167" s="4">
        <v>12.99</v>
      </c>
      <c r="E167" s="7">
        <v>569.66999999999996</v>
      </c>
      <c r="F167" s="4">
        <f t="shared" si="2"/>
        <v>7400.0132999999996</v>
      </c>
      <c r="G167" t="s">
        <v>10</v>
      </c>
      <c r="H167" t="s">
        <v>11</v>
      </c>
      <c r="I167" t="s">
        <v>38</v>
      </c>
      <c r="J167" t="s">
        <v>13</v>
      </c>
      <c r="K167" t="str">
        <f>TEXT(sales[[#This Row],[Date]],"mmm")</f>
        <v>Dec</v>
      </c>
      <c r="L167" t="str">
        <f>TEXT(sales[[#This Row],[Date]],"ddd")</f>
        <v>Mon</v>
      </c>
    </row>
    <row r="168" spans="1:12" x14ac:dyDescent="0.3">
      <c r="A168">
        <v>10626</v>
      </c>
      <c r="B168" s="1">
        <v>44907</v>
      </c>
      <c r="C168" t="s">
        <v>25</v>
      </c>
      <c r="D168" s="4">
        <v>9.9499999999999993</v>
      </c>
      <c r="E168" s="7">
        <v>201.01</v>
      </c>
      <c r="F168" s="4">
        <f t="shared" si="2"/>
        <v>2000.0494999999999</v>
      </c>
      <c r="G168" t="s">
        <v>10</v>
      </c>
      <c r="H168" t="s">
        <v>11</v>
      </c>
      <c r="I168" t="s">
        <v>38</v>
      </c>
      <c r="J168" t="s">
        <v>13</v>
      </c>
      <c r="K168" t="str">
        <f>TEXT(sales[[#This Row],[Date]],"mmm")</f>
        <v>Dec</v>
      </c>
      <c r="L168" t="str">
        <f>TEXT(sales[[#This Row],[Date]],"ddd")</f>
        <v>Mon</v>
      </c>
    </row>
    <row r="169" spans="1:12" x14ac:dyDescent="0.3">
      <c r="A169">
        <v>10627</v>
      </c>
      <c r="B169" s="1">
        <v>44907</v>
      </c>
      <c r="C169" t="s">
        <v>9</v>
      </c>
      <c r="D169" s="4">
        <v>3.49</v>
      </c>
      <c r="E169" s="7">
        <v>630.37</v>
      </c>
      <c r="F169" s="4">
        <f t="shared" si="2"/>
        <v>2199.9913000000001</v>
      </c>
      <c r="G169" t="s">
        <v>10</v>
      </c>
      <c r="H169" t="s">
        <v>11</v>
      </c>
      <c r="I169" t="s">
        <v>38</v>
      </c>
      <c r="J169" t="s">
        <v>13</v>
      </c>
      <c r="K169" t="str">
        <f>TEXT(sales[[#This Row],[Date]],"mmm")</f>
        <v>Dec</v>
      </c>
      <c r="L169" t="str">
        <f>TEXT(sales[[#This Row],[Date]],"ddd")</f>
        <v>Mon</v>
      </c>
    </row>
    <row r="170" spans="1:12" x14ac:dyDescent="0.3">
      <c r="A170">
        <v>10628</v>
      </c>
      <c r="B170" s="1">
        <v>44907</v>
      </c>
      <c r="C170" t="s">
        <v>14</v>
      </c>
      <c r="D170" s="4">
        <v>2.95</v>
      </c>
      <c r="E170" s="7">
        <v>677.97</v>
      </c>
      <c r="F170" s="4">
        <f t="shared" si="2"/>
        <v>2000.0115000000003</v>
      </c>
      <c r="G170" t="s">
        <v>10</v>
      </c>
      <c r="H170" t="s">
        <v>11</v>
      </c>
      <c r="I170" t="s">
        <v>35</v>
      </c>
      <c r="J170" t="s">
        <v>20</v>
      </c>
      <c r="K170" t="str">
        <f>TEXT(sales[[#This Row],[Date]],"mmm")</f>
        <v>Dec</v>
      </c>
      <c r="L170" t="str">
        <f>TEXT(sales[[#This Row],[Date]],"ddd")</f>
        <v>Mon</v>
      </c>
    </row>
    <row r="171" spans="1:12" x14ac:dyDescent="0.3">
      <c r="A171">
        <v>10629</v>
      </c>
      <c r="B171" s="1">
        <v>44907</v>
      </c>
      <c r="C171" t="s">
        <v>17</v>
      </c>
      <c r="D171" s="4">
        <v>4.99</v>
      </c>
      <c r="E171" s="7">
        <v>200.4</v>
      </c>
      <c r="F171" s="4">
        <f t="shared" si="2"/>
        <v>999.99600000000009</v>
      </c>
      <c r="G171" t="s">
        <v>10</v>
      </c>
      <c r="H171" t="s">
        <v>11</v>
      </c>
      <c r="I171" t="s">
        <v>35</v>
      </c>
      <c r="J171" t="s">
        <v>20</v>
      </c>
      <c r="K171" t="str">
        <f>TEXT(sales[[#This Row],[Date]],"mmm")</f>
        <v>Dec</v>
      </c>
      <c r="L171" t="str">
        <f>TEXT(sales[[#This Row],[Date]],"ddd")</f>
        <v>Mon</v>
      </c>
    </row>
    <row r="172" spans="1:12" x14ac:dyDescent="0.3">
      <c r="A172">
        <v>10630</v>
      </c>
      <c r="B172" s="1">
        <v>44908</v>
      </c>
      <c r="C172" t="s">
        <v>21</v>
      </c>
      <c r="D172" s="4">
        <v>12.99</v>
      </c>
      <c r="E172" s="7">
        <v>569.66999999999996</v>
      </c>
      <c r="F172" s="4">
        <f t="shared" si="2"/>
        <v>7400.0132999999996</v>
      </c>
      <c r="G172" t="s">
        <v>10</v>
      </c>
      <c r="H172" t="s">
        <v>37</v>
      </c>
      <c r="I172" t="s">
        <v>35</v>
      </c>
      <c r="J172" t="s">
        <v>20</v>
      </c>
      <c r="K172" t="str">
        <f>TEXT(sales[[#This Row],[Date]],"mmm")</f>
        <v>Dec</v>
      </c>
      <c r="L172" t="str">
        <f>TEXT(sales[[#This Row],[Date]],"ddd")</f>
        <v>Tue</v>
      </c>
    </row>
    <row r="173" spans="1:12" x14ac:dyDescent="0.3">
      <c r="A173">
        <v>10631</v>
      </c>
      <c r="B173" s="1">
        <v>44908</v>
      </c>
      <c r="C173" t="s">
        <v>25</v>
      </c>
      <c r="D173" s="4">
        <v>9.9499999999999993</v>
      </c>
      <c r="E173" s="7">
        <v>201.01</v>
      </c>
      <c r="F173" s="4">
        <f t="shared" si="2"/>
        <v>2000.0494999999999</v>
      </c>
      <c r="G173" t="s">
        <v>10</v>
      </c>
      <c r="H173" t="s">
        <v>11</v>
      </c>
      <c r="I173" t="s">
        <v>35</v>
      </c>
      <c r="J173" t="s">
        <v>20</v>
      </c>
      <c r="K173" t="str">
        <f>TEXT(sales[[#This Row],[Date]],"mmm")</f>
        <v>Dec</v>
      </c>
      <c r="L173" t="str">
        <f>TEXT(sales[[#This Row],[Date]],"ddd")</f>
        <v>Tue</v>
      </c>
    </row>
    <row r="174" spans="1:12" x14ac:dyDescent="0.3">
      <c r="A174">
        <v>10632</v>
      </c>
      <c r="B174" s="1">
        <v>44908</v>
      </c>
      <c r="C174" t="s">
        <v>9</v>
      </c>
      <c r="D174" s="4">
        <v>3.49</v>
      </c>
      <c r="E174" s="7">
        <v>630.37</v>
      </c>
      <c r="F174" s="4">
        <f t="shared" si="2"/>
        <v>2199.9913000000001</v>
      </c>
      <c r="G174" t="s">
        <v>10</v>
      </c>
      <c r="H174" t="s">
        <v>11</v>
      </c>
      <c r="I174" t="s">
        <v>35</v>
      </c>
      <c r="J174" t="s">
        <v>20</v>
      </c>
      <c r="K174" t="str">
        <f>TEXT(sales[[#This Row],[Date]],"mmm")</f>
        <v>Dec</v>
      </c>
      <c r="L174" t="str">
        <f>TEXT(sales[[#This Row],[Date]],"ddd")</f>
        <v>Tue</v>
      </c>
    </row>
    <row r="175" spans="1:12" x14ac:dyDescent="0.3">
      <c r="A175">
        <v>10633</v>
      </c>
      <c r="B175" s="1">
        <v>44908</v>
      </c>
      <c r="C175" t="s">
        <v>14</v>
      </c>
      <c r="D175" s="4">
        <v>2.95</v>
      </c>
      <c r="E175" s="7">
        <v>677.97</v>
      </c>
      <c r="F175" s="4">
        <f t="shared" si="2"/>
        <v>2000.0115000000003</v>
      </c>
      <c r="G175" t="s">
        <v>10</v>
      </c>
      <c r="H175" t="s">
        <v>11</v>
      </c>
      <c r="I175" t="s">
        <v>35</v>
      </c>
      <c r="J175" t="s">
        <v>20</v>
      </c>
      <c r="K175" t="str">
        <f>TEXT(sales[[#This Row],[Date]],"mmm")</f>
        <v>Dec</v>
      </c>
      <c r="L175" t="str">
        <f>TEXT(sales[[#This Row],[Date]],"ddd")</f>
        <v>Tue</v>
      </c>
    </row>
    <row r="176" spans="1:12" x14ac:dyDescent="0.3">
      <c r="A176">
        <v>10634</v>
      </c>
      <c r="B176" s="1">
        <v>44908</v>
      </c>
      <c r="C176" t="s">
        <v>17</v>
      </c>
      <c r="D176" s="4">
        <v>4.99</v>
      </c>
      <c r="E176" s="7">
        <v>200.4</v>
      </c>
      <c r="F176" s="4">
        <f t="shared" si="2"/>
        <v>999.99600000000009</v>
      </c>
      <c r="G176" t="s">
        <v>10</v>
      </c>
      <c r="H176" t="s">
        <v>11</v>
      </c>
      <c r="I176" t="s">
        <v>35</v>
      </c>
      <c r="J176" t="s">
        <v>20</v>
      </c>
      <c r="K176" t="str">
        <f>TEXT(sales[[#This Row],[Date]],"mmm")</f>
        <v>Dec</v>
      </c>
      <c r="L176" t="str">
        <f>TEXT(sales[[#This Row],[Date]],"ddd")</f>
        <v>Tue</v>
      </c>
    </row>
    <row r="177" spans="1:12" x14ac:dyDescent="0.3">
      <c r="A177">
        <v>10635</v>
      </c>
      <c r="B177" s="1">
        <v>44909</v>
      </c>
      <c r="C177" t="s">
        <v>21</v>
      </c>
      <c r="D177" s="4">
        <v>12.99</v>
      </c>
      <c r="E177" s="7">
        <v>554.27</v>
      </c>
      <c r="F177" s="4">
        <f t="shared" si="2"/>
        <v>7199.9673000000003</v>
      </c>
      <c r="G177" t="s">
        <v>10</v>
      </c>
      <c r="H177" t="s">
        <v>11</v>
      </c>
      <c r="I177" t="s">
        <v>35</v>
      </c>
      <c r="J177" t="s">
        <v>20</v>
      </c>
      <c r="K177" t="str">
        <f>TEXT(sales[[#This Row],[Date]],"mmm")</f>
        <v>Dec</v>
      </c>
      <c r="L177" t="str">
        <f>TEXT(sales[[#This Row],[Date]],"ddd")</f>
        <v>Wed</v>
      </c>
    </row>
    <row r="178" spans="1:12" x14ac:dyDescent="0.3">
      <c r="A178">
        <v>10636</v>
      </c>
      <c r="B178" s="1">
        <v>44909</v>
      </c>
      <c r="C178" t="s">
        <v>25</v>
      </c>
      <c r="D178" s="4">
        <v>9.9499999999999993</v>
      </c>
      <c r="E178" s="7">
        <v>221.11</v>
      </c>
      <c r="F178" s="4">
        <f t="shared" si="2"/>
        <v>2200.0445</v>
      </c>
      <c r="G178" t="s">
        <v>10</v>
      </c>
      <c r="H178" t="s">
        <v>11</v>
      </c>
      <c r="I178" t="s">
        <v>35</v>
      </c>
      <c r="J178" t="s">
        <v>20</v>
      </c>
      <c r="K178" t="str">
        <f>TEXT(sales[[#This Row],[Date]],"mmm")</f>
        <v>Dec</v>
      </c>
      <c r="L178" t="str">
        <f>TEXT(sales[[#This Row],[Date]],"ddd")</f>
        <v>Wed</v>
      </c>
    </row>
    <row r="179" spans="1:12" x14ac:dyDescent="0.3">
      <c r="A179">
        <v>10637</v>
      </c>
      <c r="B179" s="1">
        <v>44909</v>
      </c>
      <c r="C179" t="s">
        <v>9</v>
      </c>
      <c r="D179" s="4">
        <v>3.49</v>
      </c>
      <c r="E179" s="7">
        <v>630.37</v>
      </c>
      <c r="F179" s="4">
        <f t="shared" si="2"/>
        <v>2199.9913000000001</v>
      </c>
      <c r="G179" t="s">
        <v>10</v>
      </c>
      <c r="H179" t="s">
        <v>11</v>
      </c>
      <c r="I179" t="s">
        <v>35</v>
      </c>
      <c r="J179" t="s">
        <v>20</v>
      </c>
      <c r="K179" t="str">
        <f>TEXT(sales[[#This Row],[Date]],"mmm")</f>
        <v>Dec</v>
      </c>
      <c r="L179" t="str">
        <f>TEXT(sales[[#This Row],[Date]],"ddd")</f>
        <v>Wed</v>
      </c>
    </row>
    <row r="180" spans="1:12" x14ac:dyDescent="0.3">
      <c r="A180">
        <v>10638</v>
      </c>
      <c r="B180" s="1">
        <v>44909</v>
      </c>
      <c r="C180" t="s">
        <v>14</v>
      </c>
      <c r="D180" s="4">
        <v>2.95</v>
      </c>
      <c r="E180" s="7">
        <v>677.97</v>
      </c>
      <c r="F180" s="4">
        <f t="shared" si="2"/>
        <v>2000.0115000000003</v>
      </c>
      <c r="G180" t="s">
        <v>10</v>
      </c>
      <c r="H180" t="s">
        <v>11</v>
      </c>
      <c r="I180" t="s">
        <v>35</v>
      </c>
      <c r="J180" t="s">
        <v>20</v>
      </c>
      <c r="K180" t="str">
        <f>TEXT(sales[[#This Row],[Date]],"mmm")</f>
        <v>Dec</v>
      </c>
      <c r="L180" t="str">
        <f>TEXT(sales[[#This Row],[Date]],"ddd")</f>
        <v>Wed</v>
      </c>
    </row>
    <row r="181" spans="1:12" x14ac:dyDescent="0.3">
      <c r="A181">
        <v>10639</v>
      </c>
      <c r="B181" s="1">
        <v>44909</v>
      </c>
      <c r="C181" t="s">
        <v>17</v>
      </c>
      <c r="D181" s="4">
        <v>4.99</v>
      </c>
      <c r="E181" s="7">
        <v>200.4</v>
      </c>
      <c r="F181" s="4">
        <f t="shared" si="2"/>
        <v>999.99600000000009</v>
      </c>
      <c r="G181" t="s">
        <v>10</v>
      </c>
      <c r="H181" t="s">
        <v>11</v>
      </c>
      <c r="I181" t="s">
        <v>35</v>
      </c>
      <c r="J181" t="s">
        <v>20</v>
      </c>
      <c r="K181" t="str">
        <f>TEXT(sales[[#This Row],[Date]],"mmm")</f>
        <v>Dec</v>
      </c>
      <c r="L181" t="str">
        <f>TEXT(sales[[#This Row],[Date]],"ddd")</f>
        <v>Wed</v>
      </c>
    </row>
    <row r="182" spans="1:12" x14ac:dyDescent="0.3">
      <c r="A182">
        <v>10640</v>
      </c>
      <c r="B182" s="1">
        <v>44910</v>
      </c>
      <c r="C182" t="s">
        <v>21</v>
      </c>
      <c r="D182" s="4">
        <v>12.99</v>
      </c>
      <c r="E182" s="7">
        <v>538.88</v>
      </c>
      <c r="F182" s="4">
        <f t="shared" si="2"/>
        <v>7000.0511999999999</v>
      </c>
      <c r="G182" t="s">
        <v>10</v>
      </c>
      <c r="H182" t="s">
        <v>11</v>
      </c>
      <c r="I182" t="s">
        <v>35</v>
      </c>
      <c r="J182" t="s">
        <v>20</v>
      </c>
      <c r="K182" t="str">
        <f>TEXT(sales[[#This Row],[Date]],"mmm")</f>
        <v>Dec</v>
      </c>
      <c r="L182" t="str">
        <f>TEXT(sales[[#This Row],[Date]],"ddd")</f>
        <v>Thu</v>
      </c>
    </row>
    <row r="183" spans="1:12" x14ac:dyDescent="0.3">
      <c r="A183">
        <v>10641</v>
      </c>
      <c r="B183" s="1">
        <v>44910</v>
      </c>
      <c r="C183" t="s">
        <v>25</v>
      </c>
      <c r="D183" s="4">
        <v>9.9499999999999993</v>
      </c>
      <c r="E183" s="7">
        <v>221.11</v>
      </c>
      <c r="F183" s="4">
        <f t="shared" si="2"/>
        <v>2200.0445</v>
      </c>
      <c r="G183" t="s">
        <v>10</v>
      </c>
      <c r="H183" t="s">
        <v>11</v>
      </c>
      <c r="I183" t="s">
        <v>35</v>
      </c>
      <c r="J183" t="s">
        <v>20</v>
      </c>
      <c r="K183" t="str">
        <f>TEXT(sales[[#This Row],[Date]],"mmm")</f>
        <v>Dec</v>
      </c>
      <c r="L183" t="str">
        <f>TEXT(sales[[#This Row],[Date]],"ddd")</f>
        <v>Thu</v>
      </c>
    </row>
    <row r="184" spans="1:12" x14ac:dyDescent="0.3">
      <c r="A184">
        <v>10642</v>
      </c>
      <c r="B184" s="1">
        <v>44910</v>
      </c>
      <c r="C184" t="s">
        <v>9</v>
      </c>
      <c r="D184" s="4">
        <v>3.49</v>
      </c>
      <c r="E184" s="7">
        <v>630.37</v>
      </c>
      <c r="F184" s="4">
        <f t="shared" si="2"/>
        <v>2199.9913000000001</v>
      </c>
      <c r="G184" t="s">
        <v>10</v>
      </c>
      <c r="H184" t="s">
        <v>37</v>
      </c>
      <c r="I184" t="s">
        <v>35</v>
      </c>
      <c r="J184" t="s">
        <v>20</v>
      </c>
      <c r="K184" t="str">
        <f>TEXT(sales[[#This Row],[Date]],"mmm")</f>
        <v>Dec</v>
      </c>
      <c r="L184" t="str">
        <f>TEXT(sales[[#This Row],[Date]],"ddd")</f>
        <v>Thu</v>
      </c>
    </row>
    <row r="185" spans="1:12" x14ac:dyDescent="0.3">
      <c r="A185">
        <v>10643</v>
      </c>
      <c r="B185" s="1">
        <v>44910</v>
      </c>
      <c r="C185" t="s">
        <v>14</v>
      </c>
      <c r="D185" s="4">
        <v>2.95</v>
      </c>
      <c r="E185" s="7">
        <v>677.97</v>
      </c>
      <c r="F185" s="4">
        <f t="shared" si="2"/>
        <v>2000.0115000000003</v>
      </c>
      <c r="G185" t="s">
        <v>10</v>
      </c>
      <c r="H185" t="s">
        <v>37</v>
      </c>
      <c r="I185" t="s">
        <v>35</v>
      </c>
      <c r="J185" t="s">
        <v>20</v>
      </c>
      <c r="K185" t="str">
        <f>TEXT(sales[[#This Row],[Date]],"mmm")</f>
        <v>Dec</v>
      </c>
      <c r="L185" t="str">
        <f>TEXT(sales[[#This Row],[Date]],"ddd")</f>
        <v>Thu</v>
      </c>
    </row>
    <row r="186" spans="1:12" x14ac:dyDescent="0.3">
      <c r="A186">
        <v>10644</v>
      </c>
      <c r="B186" s="1">
        <v>44910</v>
      </c>
      <c r="C186" t="s">
        <v>17</v>
      </c>
      <c r="D186" s="4">
        <v>4.99</v>
      </c>
      <c r="E186" s="7">
        <v>200.4</v>
      </c>
      <c r="F186" s="4">
        <f t="shared" si="2"/>
        <v>999.99600000000009</v>
      </c>
      <c r="G186" t="s">
        <v>10</v>
      </c>
      <c r="H186" t="s">
        <v>37</v>
      </c>
      <c r="I186" t="s">
        <v>35</v>
      </c>
      <c r="J186" t="s">
        <v>20</v>
      </c>
      <c r="K186" t="str">
        <f>TEXT(sales[[#This Row],[Date]],"mmm")</f>
        <v>Dec</v>
      </c>
      <c r="L186" t="str">
        <f>TEXT(sales[[#This Row],[Date]],"ddd")</f>
        <v>Thu</v>
      </c>
    </row>
    <row r="187" spans="1:12" x14ac:dyDescent="0.3">
      <c r="A187">
        <v>10645</v>
      </c>
      <c r="B187" s="1">
        <v>44911</v>
      </c>
      <c r="C187" t="s">
        <v>21</v>
      </c>
      <c r="D187" s="4">
        <v>12.99</v>
      </c>
      <c r="E187" s="7">
        <v>569.66999999999996</v>
      </c>
      <c r="F187" s="4">
        <f t="shared" si="2"/>
        <v>7400.0132999999996</v>
      </c>
      <c r="G187" t="s">
        <v>10</v>
      </c>
      <c r="H187" t="s">
        <v>37</v>
      </c>
      <c r="I187" t="s">
        <v>35</v>
      </c>
      <c r="J187" t="s">
        <v>20</v>
      </c>
      <c r="K187" t="str">
        <f>TEXT(sales[[#This Row],[Date]],"mmm")</f>
        <v>Dec</v>
      </c>
      <c r="L187" t="str">
        <f>TEXT(sales[[#This Row],[Date]],"ddd")</f>
        <v>Fri</v>
      </c>
    </row>
    <row r="188" spans="1:12" x14ac:dyDescent="0.3">
      <c r="A188">
        <v>10646</v>
      </c>
      <c r="B188" s="1">
        <v>44911</v>
      </c>
      <c r="C188" t="s">
        <v>25</v>
      </c>
      <c r="D188" s="4">
        <v>9.9499999999999993</v>
      </c>
      <c r="E188" s="7">
        <v>221.11</v>
      </c>
      <c r="F188" s="4">
        <f t="shared" si="2"/>
        <v>2200.0445</v>
      </c>
      <c r="G188" t="s">
        <v>10</v>
      </c>
      <c r="H188" t="s">
        <v>37</v>
      </c>
      <c r="I188" t="s">
        <v>35</v>
      </c>
      <c r="J188" t="s">
        <v>20</v>
      </c>
      <c r="K188" t="str">
        <f>TEXT(sales[[#This Row],[Date]],"mmm")</f>
        <v>Dec</v>
      </c>
      <c r="L188" t="str">
        <f>TEXT(sales[[#This Row],[Date]],"ddd")</f>
        <v>Fri</v>
      </c>
    </row>
    <row r="189" spans="1:12" x14ac:dyDescent="0.3">
      <c r="A189">
        <v>10647</v>
      </c>
      <c r="B189" s="1">
        <v>44911</v>
      </c>
      <c r="C189" t="s">
        <v>9</v>
      </c>
      <c r="D189" s="4">
        <v>3.49</v>
      </c>
      <c r="E189" s="7">
        <v>630.37</v>
      </c>
      <c r="F189" s="4">
        <f t="shared" si="2"/>
        <v>2199.9913000000001</v>
      </c>
      <c r="G189" t="s">
        <v>10</v>
      </c>
      <c r="H189" t="s">
        <v>11</v>
      </c>
      <c r="I189" t="s">
        <v>35</v>
      </c>
      <c r="J189" t="s">
        <v>20</v>
      </c>
      <c r="K189" t="str">
        <f>TEXT(sales[[#This Row],[Date]],"mmm")</f>
        <v>Dec</v>
      </c>
      <c r="L189" t="str">
        <f>TEXT(sales[[#This Row],[Date]],"ddd")</f>
        <v>Fri</v>
      </c>
    </row>
    <row r="190" spans="1:12" x14ac:dyDescent="0.3">
      <c r="A190">
        <v>10648</v>
      </c>
      <c r="B190" s="1">
        <v>44911</v>
      </c>
      <c r="C190" t="s">
        <v>14</v>
      </c>
      <c r="D190" s="4">
        <v>2.95</v>
      </c>
      <c r="E190" s="7">
        <v>745.76</v>
      </c>
      <c r="F190" s="4">
        <f t="shared" si="2"/>
        <v>2199.9920000000002</v>
      </c>
      <c r="G190" t="s">
        <v>10</v>
      </c>
      <c r="H190" t="s">
        <v>11</v>
      </c>
      <c r="I190" t="s">
        <v>35</v>
      </c>
      <c r="J190" t="s">
        <v>20</v>
      </c>
      <c r="K190" t="str">
        <f>TEXT(sales[[#This Row],[Date]],"mmm")</f>
        <v>Dec</v>
      </c>
      <c r="L190" t="str">
        <f>TEXT(sales[[#This Row],[Date]],"ddd")</f>
        <v>Fri</v>
      </c>
    </row>
    <row r="191" spans="1:12" x14ac:dyDescent="0.3">
      <c r="A191">
        <v>10649</v>
      </c>
      <c r="B191" s="1">
        <v>44911</v>
      </c>
      <c r="C191" t="s">
        <v>17</v>
      </c>
      <c r="D191" s="4">
        <v>4.99</v>
      </c>
      <c r="E191" s="7">
        <v>200.4</v>
      </c>
      <c r="F191" s="4">
        <f t="shared" si="2"/>
        <v>999.99600000000009</v>
      </c>
      <c r="G191" t="s">
        <v>10</v>
      </c>
      <c r="H191" t="s">
        <v>11</v>
      </c>
      <c r="I191" t="s">
        <v>35</v>
      </c>
      <c r="J191" t="s">
        <v>20</v>
      </c>
      <c r="K191" t="str">
        <f>TEXT(sales[[#This Row],[Date]],"mmm")</f>
        <v>Dec</v>
      </c>
      <c r="L191" t="str">
        <f>TEXT(sales[[#This Row],[Date]],"ddd")</f>
        <v>Fri</v>
      </c>
    </row>
    <row r="192" spans="1:12" x14ac:dyDescent="0.3">
      <c r="A192">
        <v>10650</v>
      </c>
      <c r="B192" s="1">
        <v>44912</v>
      </c>
      <c r="C192" t="s">
        <v>21</v>
      </c>
      <c r="D192" s="4">
        <v>12.99</v>
      </c>
      <c r="E192" s="7">
        <v>585.07000000000005</v>
      </c>
      <c r="F192" s="4">
        <f t="shared" si="2"/>
        <v>7600.0593000000008</v>
      </c>
      <c r="G192" t="s">
        <v>10</v>
      </c>
      <c r="H192" t="s">
        <v>11</v>
      </c>
      <c r="I192" t="s">
        <v>35</v>
      </c>
      <c r="J192" t="s">
        <v>20</v>
      </c>
      <c r="K192" t="str">
        <f>TEXT(sales[[#This Row],[Date]],"mmm")</f>
        <v>Dec</v>
      </c>
      <c r="L192" t="str">
        <f>TEXT(sales[[#This Row],[Date]],"ddd")</f>
        <v>Sat</v>
      </c>
    </row>
    <row r="193" spans="1:12" x14ac:dyDescent="0.3">
      <c r="A193">
        <v>10651</v>
      </c>
      <c r="B193" s="1">
        <v>44912</v>
      </c>
      <c r="C193" t="s">
        <v>25</v>
      </c>
      <c r="D193" s="4">
        <v>9.9499999999999993</v>
      </c>
      <c r="E193" s="7">
        <v>221.11</v>
      </c>
      <c r="F193" s="4">
        <f t="shared" si="2"/>
        <v>2200.0445</v>
      </c>
      <c r="G193" t="s">
        <v>10</v>
      </c>
      <c r="H193" t="s">
        <v>11</v>
      </c>
      <c r="I193" t="s">
        <v>35</v>
      </c>
      <c r="J193" t="s">
        <v>20</v>
      </c>
      <c r="K193" t="str">
        <f>TEXT(sales[[#This Row],[Date]],"mmm")</f>
        <v>Dec</v>
      </c>
      <c r="L193" t="str">
        <f>TEXT(sales[[#This Row],[Date]],"ddd")</f>
        <v>Sat</v>
      </c>
    </row>
    <row r="194" spans="1:12" x14ac:dyDescent="0.3">
      <c r="A194">
        <v>10652</v>
      </c>
      <c r="B194" s="1">
        <v>44912</v>
      </c>
      <c r="C194" t="s">
        <v>9</v>
      </c>
      <c r="D194" s="4">
        <v>3.49</v>
      </c>
      <c r="E194" s="7">
        <v>687.68</v>
      </c>
      <c r="F194" s="4">
        <f t="shared" ref="F194:F255" si="3">PRODUCT(D194,E194)</f>
        <v>2400.0032000000001</v>
      </c>
      <c r="G194" t="s">
        <v>10</v>
      </c>
      <c r="H194" t="s">
        <v>11</v>
      </c>
      <c r="I194" t="s">
        <v>35</v>
      </c>
      <c r="J194" t="s">
        <v>20</v>
      </c>
      <c r="K194" t="str">
        <f>TEXT(sales[[#This Row],[Date]],"mmm")</f>
        <v>Dec</v>
      </c>
      <c r="L194" t="str">
        <f>TEXT(sales[[#This Row],[Date]],"ddd")</f>
        <v>Sat</v>
      </c>
    </row>
    <row r="195" spans="1:12" x14ac:dyDescent="0.3">
      <c r="A195">
        <v>10653</v>
      </c>
      <c r="B195" s="1">
        <v>44912</v>
      </c>
      <c r="C195" t="s">
        <v>14</v>
      </c>
      <c r="D195" s="4">
        <v>2.95</v>
      </c>
      <c r="E195" s="7">
        <v>745.76</v>
      </c>
      <c r="F195" s="4">
        <f t="shared" si="3"/>
        <v>2199.9920000000002</v>
      </c>
      <c r="G195" t="s">
        <v>10</v>
      </c>
      <c r="H195" t="s">
        <v>11</v>
      </c>
      <c r="I195" t="s">
        <v>35</v>
      </c>
      <c r="J195" t="s">
        <v>20</v>
      </c>
      <c r="K195" t="str">
        <f>TEXT(sales[[#This Row],[Date]],"mmm")</f>
        <v>Dec</v>
      </c>
      <c r="L195" t="str">
        <f>TEXT(sales[[#This Row],[Date]],"ddd")</f>
        <v>Sat</v>
      </c>
    </row>
    <row r="196" spans="1:12" x14ac:dyDescent="0.3">
      <c r="A196">
        <v>10654</v>
      </c>
      <c r="B196" s="1">
        <v>44912</v>
      </c>
      <c r="C196" t="s">
        <v>17</v>
      </c>
      <c r="D196" s="4">
        <v>4.99</v>
      </c>
      <c r="E196" s="7">
        <v>200.4</v>
      </c>
      <c r="F196" s="4">
        <f t="shared" si="3"/>
        <v>999.99600000000009</v>
      </c>
      <c r="G196" t="s">
        <v>10</v>
      </c>
      <c r="H196" t="s">
        <v>11</v>
      </c>
      <c r="I196" t="s">
        <v>35</v>
      </c>
      <c r="J196" t="s">
        <v>20</v>
      </c>
      <c r="K196" t="str">
        <f>TEXT(sales[[#This Row],[Date]],"mmm")</f>
        <v>Dec</v>
      </c>
      <c r="L196" t="str">
        <f>TEXT(sales[[#This Row],[Date]],"ddd")</f>
        <v>Sat</v>
      </c>
    </row>
    <row r="197" spans="1:12" x14ac:dyDescent="0.3">
      <c r="A197">
        <v>10655</v>
      </c>
      <c r="B197" s="1">
        <v>44913</v>
      </c>
      <c r="C197" t="s">
        <v>21</v>
      </c>
      <c r="D197" s="4">
        <v>12.99</v>
      </c>
      <c r="E197" s="7">
        <v>600.46</v>
      </c>
      <c r="F197" s="4">
        <f t="shared" si="3"/>
        <v>7799.9754000000003</v>
      </c>
      <c r="G197" t="s">
        <v>10</v>
      </c>
      <c r="H197" t="s">
        <v>11</v>
      </c>
      <c r="I197" t="s">
        <v>35</v>
      </c>
      <c r="J197" t="s">
        <v>20</v>
      </c>
      <c r="K197" t="str">
        <f>TEXT(sales[[#This Row],[Date]],"mmm")</f>
        <v>Dec</v>
      </c>
      <c r="L197" t="str">
        <f>TEXT(sales[[#This Row],[Date]],"ddd")</f>
        <v>Sun</v>
      </c>
    </row>
    <row r="198" spans="1:12" x14ac:dyDescent="0.3">
      <c r="A198">
        <v>10656</v>
      </c>
      <c r="B198" s="1">
        <v>44913</v>
      </c>
      <c r="C198" t="s">
        <v>25</v>
      </c>
      <c r="D198" s="4">
        <v>9.9499999999999993</v>
      </c>
      <c r="E198" s="7">
        <v>221.11</v>
      </c>
      <c r="F198" s="4">
        <f t="shared" si="3"/>
        <v>2200.0445</v>
      </c>
      <c r="G198" t="s">
        <v>10</v>
      </c>
      <c r="H198" t="s">
        <v>11</v>
      </c>
      <c r="I198" t="s">
        <v>35</v>
      </c>
      <c r="J198" t="s">
        <v>20</v>
      </c>
      <c r="K198" t="str">
        <f>TEXT(sales[[#This Row],[Date]],"mmm")</f>
        <v>Dec</v>
      </c>
      <c r="L198" t="str">
        <f>TEXT(sales[[#This Row],[Date]],"ddd")</f>
        <v>Sun</v>
      </c>
    </row>
    <row r="199" spans="1:12" x14ac:dyDescent="0.3">
      <c r="A199">
        <v>10657</v>
      </c>
      <c r="B199" s="1">
        <v>44913</v>
      </c>
      <c r="C199" t="s">
        <v>9</v>
      </c>
      <c r="D199" s="4">
        <v>3.49</v>
      </c>
      <c r="E199" s="7">
        <v>687.68</v>
      </c>
      <c r="F199" s="4">
        <f t="shared" si="3"/>
        <v>2400.0032000000001</v>
      </c>
      <c r="G199" t="s">
        <v>10</v>
      </c>
      <c r="H199" t="s">
        <v>11</v>
      </c>
      <c r="I199" t="s">
        <v>35</v>
      </c>
      <c r="J199" t="s">
        <v>20</v>
      </c>
      <c r="K199" t="str">
        <f>TEXT(sales[[#This Row],[Date]],"mmm")</f>
        <v>Dec</v>
      </c>
      <c r="L199" t="str">
        <f>TEXT(sales[[#This Row],[Date]],"ddd")</f>
        <v>Sun</v>
      </c>
    </row>
    <row r="200" spans="1:12" x14ac:dyDescent="0.3">
      <c r="A200">
        <v>10658</v>
      </c>
      <c r="B200" s="1">
        <v>44913</v>
      </c>
      <c r="C200" t="s">
        <v>14</v>
      </c>
      <c r="D200" s="4">
        <v>2.95</v>
      </c>
      <c r="E200" s="7">
        <v>745.76</v>
      </c>
      <c r="F200" s="4">
        <f t="shared" si="3"/>
        <v>2199.9920000000002</v>
      </c>
      <c r="G200" t="s">
        <v>10</v>
      </c>
      <c r="H200" t="s">
        <v>37</v>
      </c>
      <c r="I200" t="s">
        <v>35</v>
      </c>
      <c r="J200" t="s">
        <v>20</v>
      </c>
      <c r="K200" t="str">
        <f>TEXT(sales[[#This Row],[Date]],"mmm")</f>
        <v>Dec</v>
      </c>
      <c r="L200" t="str">
        <f>TEXT(sales[[#This Row],[Date]],"ddd")</f>
        <v>Sun</v>
      </c>
    </row>
    <row r="201" spans="1:12" x14ac:dyDescent="0.3">
      <c r="A201">
        <v>10659</v>
      </c>
      <c r="B201" s="1">
        <v>44913</v>
      </c>
      <c r="C201" t="s">
        <v>17</v>
      </c>
      <c r="D201" s="4">
        <v>4.99</v>
      </c>
      <c r="E201" s="7">
        <v>200.4</v>
      </c>
      <c r="F201" s="4">
        <f t="shared" si="3"/>
        <v>999.99600000000009</v>
      </c>
      <c r="G201" t="s">
        <v>10</v>
      </c>
      <c r="H201" t="s">
        <v>37</v>
      </c>
      <c r="I201" t="s">
        <v>35</v>
      </c>
      <c r="J201" t="s">
        <v>20</v>
      </c>
      <c r="K201" t="str">
        <f>TEXT(sales[[#This Row],[Date]],"mmm")</f>
        <v>Dec</v>
      </c>
      <c r="L201" t="str">
        <f>TEXT(sales[[#This Row],[Date]],"ddd")</f>
        <v>Sun</v>
      </c>
    </row>
    <row r="202" spans="1:12" x14ac:dyDescent="0.3">
      <c r="A202">
        <v>10660</v>
      </c>
      <c r="B202" s="1">
        <v>44914</v>
      </c>
      <c r="C202" t="s">
        <v>21</v>
      </c>
      <c r="D202" s="4">
        <v>12.99</v>
      </c>
      <c r="E202" s="7">
        <v>631.25</v>
      </c>
      <c r="F202" s="4">
        <f t="shared" si="3"/>
        <v>8199.9375</v>
      </c>
      <c r="G202" t="s">
        <v>18</v>
      </c>
      <c r="H202" t="s">
        <v>37</v>
      </c>
      <c r="I202" t="s">
        <v>35</v>
      </c>
      <c r="J202" t="s">
        <v>20</v>
      </c>
      <c r="K202" t="str">
        <f>TEXT(sales[[#This Row],[Date]],"mmm")</f>
        <v>Dec</v>
      </c>
      <c r="L202" t="str">
        <f>TEXT(sales[[#This Row],[Date]],"ddd")</f>
        <v>Mon</v>
      </c>
    </row>
    <row r="203" spans="1:12" x14ac:dyDescent="0.3">
      <c r="A203">
        <v>10661</v>
      </c>
      <c r="B203" s="1">
        <v>44914</v>
      </c>
      <c r="C203" t="s">
        <v>25</v>
      </c>
      <c r="D203" s="4">
        <v>9.9499999999999993</v>
      </c>
      <c r="E203" s="7">
        <v>221.11</v>
      </c>
      <c r="F203" s="4">
        <f t="shared" si="3"/>
        <v>2200.0445</v>
      </c>
      <c r="G203" t="s">
        <v>18</v>
      </c>
      <c r="H203" t="s">
        <v>37</v>
      </c>
      <c r="I203" t="s">
        <v>35</v>
      </c>
      <c r="J203" t="s">
        <v>20</v>
      </c>
      <c r="K203" t="str">
        <f>TEXT(sales[[#This Row],[Date]],"mmm")</f>
        <v>Dec</v>
      </c>
      <c r="L203" t="str">
        <f>TEXT(sales[[#This Row],[Date]],"ddd")</f>
        <v>Mon</v>
      </c>
    </row>
    <row r="204" spans="1:12" x14ac:dyDescent="0.3">
      <c r="A204">
        <v>10662</v>
      </c>
      <c r="B204" s="1">
        <v>44914</v>
      </c>
      <c r="C204" t="s">
        <v>9</v>
      </c>
      <c r="D204" s="4">
        <v>3.49</v>
      </c>
      <c r="E204" s="7">
        <v>630.37</v>
      </c>
      <c r="F204" s="4">
        <f t="shared" si="3"/>
        <v>2199.9913000000001</v>
      </c>
      <c r="G204" t="s">
        <v>18</v>
      </c>
      <c r="H204" t="s">
        <v>37</v>
      </c>
      <c r="I204" t="s">
        <v>35</v>
      </c>
      <c r="J204" t="s">
        <v>20</v>
      </c>
      <c r="K204" t="str">
        <f>TEXT(sales[[#This Row],[Date]],"mmm")</f>
        <v>Dec</v>
      </c>
      <c r="L204" t="str">
        <f>TEXT(sales[[#This Row],[Date]],"ddd")</f>
        <v>Mon</v>
      </c>
    </row>
    <row r="205" spans="1:12" x14ac:dyDescent="0.3">
      <c r="A205">
        <v>10663</v>
      </c>
      <c r="B205" s="1">
        <v>44914</v>
      </c>
      <c r="C205" t="s">
        <v>14</v>
      </c>
      <c r="D205" s="4">
        <v>2.95</v>
      </c>
      <c r="E205" s="7">
        <v>745.76</v>
      </c>
      <c r="F205" s="4">
        <f t="shared" si="3"/>
        <v>2199.9920000000002</v>
      </c>
      <c r="G205" t="s">
        <v>18</v>
      </c>
      <c r="H205" t="s">
        <v>37</v>
      </c>
      <c r="I205" t="s">
        <v>35</v>
      </c>
      <c r="J205" t="s">
        <v>20</v>
      </c>
      <c r="K205" t="str">
        <f>TEXT(sales[[#This Row],[Date]],"mmm")</f>
        <v>Dec</v>
      </c>
      <c r="L205" t="str">
        <f>TEXT(sales[[#This Row],[Date]],"ddd")</f>
        <v>Mon</v>
      </c>
    </row>
    <row r="206" spans="1:12" x14ac:dyDescent="0.3">
      <c r="A206">
        <v>10664</v>
      </c>
      <c r="B206" s="1">
        <v>44914</v>
      </c>
      <c r="C206" t="s">
        <v>17</v>
      </c>
      <c r="D206" s="4">
        <v>4.99</v>
      </c>
      <c r="E206" s="7">
        <v>200.4</v>
      </c>
      <c r="F206" s="4">
        <f t="shared" si="3"/>
        <v>999.99600000000009</v>
      </c>
      <c r="G206" t="s">
        <v>18</v>
      </c>
      <c r="H206" t="s">
        <v>37</v>
      </c>
      <c r="I206" t="s">
        <v>35</v>
      </c>
      <c r="J206" t="s">
        <v>20</v>
      </c>
      <c r="K206" t="str">
        <f>TEXT(sales[[#This Row],[Date]],"mmm")</f>
        <v>Dec</v>
      </c>
      <c r="L206" t="str">
        <f>TEXT(sales[[#This Row],[Date]],"ddd")</f>
        <v>Mon</v>
      </c>
    </row>
    <row r="207" spans="1:12" x14ac:dyDescent="0.3">
      <c r="A207">
        <v>10665</v>
      </c>
      <c r="B207" s="1">
        <v>44915</v>
      </c>
      <c r="C207" t="s">
        <v>21</v>
      </c>
      <c r="D207" s="4">
        <v>12.99</v>
      </c>
      <c r="E207" s="7">
        <v>646.65</v>
      </c>
      <c r="F207" s="4">
        <f t="shared" si="3"/>
        <v>8399.9835000000003</v>
      </c>
      <c r="G207" t="s">
        <v>18</v>
      </c>
      <c r="H207" t="s">
        <v>37</v>
      </c>
      <c r="I207" t="s">
        <v>35</v>
      </c>
      <c r="J207" t="s">
        <v>20</v>
      </c>
      <c r="K207" t="str">
        <f>TEXT(sales[[#This Row],[Date]],"mmm")</f>
        <v>Dec</v>
      </c>
      <c r="L207" t="str">
        <f>TEXT(sales[[#This Row],[Date]],"ddd")</f>
        <v>Tue</v>
      </c>
    </row>
    <row r="208" spans="1:12" x14ac:dyDescent="0.3">
      <c r="A208">
        <v>10666</v>
      </c>
      <c r="B208" s="1">
        <v>44915</v>
      </c>
      <c r="C208" t="s">
        <v>25</v>
      </c>
      <c r="D208" s="4">
        <v>9.9499999999999993</v>
      </c>
      <c r="E208" s="7">
        <v>221.11</v>
      </c>
      <c r="F208" s="4">
        <f t="shared" si="3"/>
        <v>2200.0445</v>
      </c>
      <c r="G208" t="s">
        <v>18</v>
      </c>
      <c r="H208" t="s">
        <v>37</v>
      </c>
      <c r="I208" t="s">
        <v>35</v>
      </c>
      <c r="J208" t="s">
        <v>20</v>
      </c>
      <c r="K208" t="str">
        <f>TEXT(sales[[#This Row],[Date]],"mmm")</f>
        <v>Dec</v>
      </c>
      <c r="L208" t="str">
        <f>TEXT(sales[[#This Row],[Date]],"ddd")</f>
        <v>Tue</v>
      </c>
    </row>
    <row r="209" spans="1:12" x14ac:dyDescent="0.3">
      <c r="A209">
        <v>10667</v>
      </c>
      <c r="B209" s="1">
        <v>44915</v>
      </c>
      <c r="C209" t="s">
        <v>9</v>
      </c>
      <c r="D209" s="4">
        <v>3.49</v>
      </c>
      <c r="E209" s="7">
        <v>630.37</v>
      </c>
      <c r="F209" s="4">
        <f t="shared" si="3"/>
        <v>2199.9913000000001</v>
      </c>
      <c r="G209" t="s">
        <v>18</v>
      </c>
      <c r="H209" t="s">
        <v>37</v>
      </c>
      <c r="I209" t="s">
        <v>35</v>
      </c>
      <c r="J209" t="s">
        <v>20</v>
      </c>
      <c r="K209" t="str">
        <f>TEXT(sales[[#This Row],[Date]],"mmm")</f>
        <v>Dec</v>
      </c>
      <c r="L209" t="str">
        <f>TEXT(sales[[#This Row],[Date]],"ddd")</f>
        <v>Tue</v>
      </c>
    </row>
    <row r="210" spans="1:12" x14ac:dyDescent="0.3">
      <c r="A210">
        <v>10668</v>
      </c>
      <c r="B210" s="1">
        <v>44915</v>
      </c>
      <c r="C210" t="s">
        <v>14</v>
      </c>
      <c r="D210" s="4">
        <v>2.95</v>
      </c>
      <c r="E210" s="7">
        <v>745.76</v>
      </c>
      <c r="F210" s="4">
        <f t="shared" si="3"/>
        <v>2199.9920000000002</v>
      </c>
      <c r="G210" t="s">
        <v>18</v>
      </c>
      <c r="H210" t="s">
        <v>37</v>
      </c>
      <c r="I210" t="s">
        <v>35</v>
      </c>
      <c r="J210" t="s">
        <v>20</v>
      </c>
      <c r="K210" t="str">
        <f>TEXT(sales[[#This Row],[Date]],"mmm")</f>
        <v>Dec</v>
      </c>
      <c r="L210" t="str">
        <f>TEXT(sales[[#This Row],[Date]],"ddd")</f>
        <v>Tue</v>
      </c>
    </row>
    <row r="211" spans="1:12" x14ac:dyDescent="0.3">
      <c r="A211">
        <v>10669</v>
      </c>
      <c r="B211" s="1">
        <v>44915</v>
      </c>
      <c r="C211" t="s">
        <v>17</v>
      </c>
      <c r="D211" s="4">
        <v>4.99</v>
      </c>
      <c r="E211" s="7">
        <v>200.4</v>
      </c>
      <c r="F211" s="4">
        <f t="shared" si="3"/>
        <v>999.99600000000009</v>
      </c>
      <c r="G211" t="s">
        <v>18</v>
      </c>
      <c r="H211" t="s">
        <v>37</v>
      </c>
      <c r="I211" t="s">
        <v>35</v>
      </c>
      <c r="J211" t="s">
        <v>20</v>
      </c>
      <c r="K211" t="str">
        <f>TEXT(sales[[#This Row],[Date]],"mmm")</f>
        <v>Dec</v>
      </c>
      <c r="L211" t="str">
        <f>TEXT(sales[[#This Row],[Date]],"ddd")</f>
        <v>Tue</v>
      </c>
    </row>
    <row r="212" spans="1:12" x14ac:dyDescent="0.3">
      <c r="A212">
        <v>10670</v>
      </c>
      <c r="B212" s="1">
        <v>44916</v>
      </c>
      <c r="C212" t="s">
        <v>21</v>
      </c>
      <c r="D212" s="4">
        <v>12.99</v>
      </c>
      <c r="E212" s="7">
        <v>677.44</v>
      </c>
      <c r="F212" s="4">
        <f t="shared" si="3"/>
        <v>8799.9456000000009</v>
      </c>
      <c r="G212" t="s">
        <v>18</v>
      </c>
      <c r="H212" t="s">
        <v>37</v>
      </c>
      <c r="I212" t="s">
        <v>35</v>
      </c>
      <c r="J212" t="s">
        <v>20</v>
      </c>
      <c r="K212" t="str">
        <f>TEXT(sales[[#This Row],[Date]],"mmm")</f>
        <v>Dec</v>
      </c>
      <c r="L212" t="str">
        <f>TEXT(sales[[#This Row],[Date]],"ddd")</f>
        <v>Wed</v>
      </c>
    </row>
    <row r="213" spans="1:12" x14ac:dyDescent="0.3">
      <c r="A213">
        <v>10671</v>
      </c>
      <c r="B213" s="1">
        <v>44916</v>
      </c>
      <c r="C213" t="s">
        <v>25</v>
      </c>
      <c r="D213" s="4">
        <v>9.9499999999999993</v>
      </c>
      <c r="E213" s="7">
        <v>221.11</v>
      </c>
      <c r="F213" s="4">
        <f t="shared" si="3"/>
        <v>2200.0445</v>
      </c>
      <c r="G213" t="s">
        <v>18</v>
      </c>
      <c r="H213" t="s">
        <v>37</v>
      </c>
      <c r="I213" t="s">
        <v>35</v>
      </c>
      <c r="J213" t="s">
        <v>20</v>
      </c>
      <c r="K213" t="str">
        <f>TEXT(sales[[#This Row],[Date]],"mmm")</f>
        <v>Dec</v>
      </c>
      <c r="L213" t="str">
        <f>TEXT(sales[[#This Row],[Date]],"ddd")</f>
        <v>Wed</v>
      </c>
    </row>
    <row r="214" spans="1:12" x14ac:dyDescent="0.3">
      <c r="A214">
        <v>10672</v>
      </c>
      <c r="B214" s="1">
        <v>44916</v>
      </c>
      <c r="C214" t="s">
        <v>9</v>
      </c>
      <c r="D214" s="4">
        <v>3.49</v>
      </c>
      <c r="E214" s="7">
        <v>630.37</v>
      </c>
      <c r="F214" s="4">
        <f t="shared" si="3"/>
        <v>2199.9913000000001</v>
      </c>
      <c r="G214" t="s">
        <v>18</v>
      </c>
      <c r="H214" t="s">
        <v>37</v>
      </c>
      <c r="I214" t="s">
        <v>35</v>
      </c>
      <c r="J214" t="s">
        <v>20</v>
      </c>
      <c r="K214" t="str">
        <f>TEXT(sales[[#This Row],[Date]],"mmm")</f>
        <v>Dec</v>
      </c>
      <c r="L214" t="str">
        <f>TEXT(sales[[#This Row],[Date]],"ddd")</f>
        <v>Wed</v>
      </c>
    </row>
    <row r="215" spans="1:12" x14ac:dyDescent="0.3">
      <c r="A215">
        <v>10673</v>
      </c>
      <c r="B215" s="1">
        <v>44916</v>
      </c>
      <c r="C215" t="s">
        <v>14</v>
      </c>
      <c r="D215" s="4">
        <v>2.95</v>
      </c>
      <c r="E215" s="7">
        <v>745.76</v>
      </c>
      <c r="F215" s="4">
        <f t="shared" si="3"/>
        <v>2199.9920000000002</v>
      </c>
      <c r="G215" t="s">
        <v>18</v>
      </c>
      <c r="H215" t="s">
        <v>37</v>
      </c>
      <c r="I215" t="s">
        <v>35</v>
      </c>
      <c r="J215" t="s">
        <v>20</v>
      </c>
      <c r="K215" t="str">
        <f>TEXT(sales[[#This Row],[Date]],"mmm")</f>
        <v>Dec</v>
      </c>
      <c r="L215" t="str">
        <f>TEXT(sales[[#This Row],[Date]],"ddd")</f>
        <v>Wed</v>
      </c>
    </row>
    <row r="216" spans="1:12" x14ac:dyDescent="0.3">
      <c r="A216">
        <v>10674</v>
      </c>
      <c r="B216" s="1">
        <v>44916</v>
      </c>
      <c r="C216" t="s">
        <v>17</v>
      </c>
      <c r="D216" s="4">
        <v>4.99</v>
      </c>
      <c r="E216" s="7">
        <v>200.4</v>
      </c>
      <c r="F216" s="4">
        <f t="shared" si="3"/>
        <v>999.99600000000009</v>
      </c>
      <c r="G216" t="s">
        <v>18</v>
      </c>
      <c r="H216" t="s">
        <v>37</v>
      </c>
      <c r="I216" t="s">
        <v>35</v>
      </c>
      <c r="J216" t="s">
        <v>20</v>
      </c>
      <c r="K216" t="str">
        <f>TEXT(sales[[#This Row],[Date]],"mmm")</f>
        <v>Dec</v>
      </c>
      <c r="L216" t="str">
        <f>TEXT(sales[[#This Row],[Date]],"ddd")</f>
        <v>Wed</v>
      </c>
    </row>
    <row r="217" spans="1:12" x14ac:dyDescent="0.3">
      <c r="A217">
        <v>10675</v>
      </c>
      <c r="B217" s="1">
        <v>44917</v>
      </c>
      <c r="C217" t="s">
        <v>21</v>
      </c>
      <c r="D217" s="4">
        <v>12.99</v>
      </c>
      <c r="E217" s="7">
        <v>677.44</v>
      </c>
      <c r="F217" s="4">
        <f t="shared" si="3"/>
        <v>8799.9456000000009</v>
      </c>
      <c r="G217" t="s">
        <v>18</v>
      </c>
      <c r="H217" t="s">
        <v>37</v>
      </c>
      <c r="I217" t="s">
        <v>35</v>
      </c>
      <c r="J217" t="s">
        <v>20</v>
      </c>
      <c r="K217" t="str">
        <f>TEXT(sales[[#This Row],[Date]],"mmm")</f>
        <v>Dec</v>
      </c>
      <c r="L217" t="str">
        <f>TEXT(sales[[#This Row],[Date]],"ddd")</f>
        <v>Thu</v>
      </c>
    </row>
    <row r="218" spans="1:12" x14ac:dyDescent="0.3">
      <c r="A218">
        <v>10676</v>
      </c>
      <c r="B218" s="1">
        <v>44917</v>
      </c>
      <c r="C218" t="s">
        <v>25</v>
      </c>
      <c r="D218" s="4">
        <v>9.9499999999999993</v>
      </c>
      <c r="E218" s="7">
        <v>241.21</v>
      </c>
      <c r="F218" s="4">
        <f t="shared" si="3"/>
        <v>2400.0394999999999</v>
      </c>
      <c r="G218" t="s">
        <v>18</v>
      </c>
      <c r="H218" t="s">
        <v>37</v>
      </c>
      <c r="I218" t="s">
        <v>35</v>
      </c>
      <c r="J218" t="s">
        <v>20</v>
      </c>
      <c r="K218" t="str">
        <f>TEXT(sales[[#This Row],[Date]],"mmm")</f>
        <v>Dec</v>
      </c>
      <c r="L218" t="str">
        <f>TEXT(sales[[#This Row],[Date]],"ddd")</f>
        <v>Thu</v>
      </c>
    </row>
    <row r="219" spans="1:12" x14ac:dyDescent="0.3">
      <c r="A219">
        <v>10677</v>
      </c>
      <c r="B219" s="1">
        <v>44917</v>
      </c>
      <c r="C219" t="s">
        <v>9</v>
      </c>
      <c r="D219" s="4">
        <v>3.49</v>
      </c>
      <c r="E219" s="7">
        <v>630.37</v>
      </c>
      <c r="F219" s="4">
        <f t="shared" si="3"/>
        <v>2199.9913000000001</v>
      </c>
      <c r="G219" t="s">
        <v>18</v>
      </c>
      <c r="H219" t="s">
        <v>37</v>
      </c>
      <c r="I219" t="s">
        <v>35</v>
      </c>
      <c r="J219" t="s">
        <v>20</v>
      </c>
      <c r="K219" t="str">
        <f>TEXT(sales[[#This Row],[Date]],"mmm")</f>
        <v>Dec</v>
      </c>
      <c r="L219" t="str">
        <f>TEXT(sales[[#This Row],[Date]],"ddd")</f>
        <v>Thu</v>
      </c>
    </row>
    <row r="220" spans="1:12" x14ac:dyDescent="0.3">
      <c r="A220">
        <v>10678</v>
      </c>
      <c r="B220" s="1">
        <v>44917</v>
      </c>
      <c r="C220" t="s">
        <v>14</v>
      </c>
      <c r="D220" s="4">
        <v>2.95</v>
      </c>
      <c r="E220" s="7">
        <v>745.76</v>
      </c>
      <c r="F220" s="4">
        <f t="shared" si="3"/>
        <v>2199.9920000000002</v>
      </c>
      <c r="G220" t="s">
        <v>18</v>
      </c>
      <c r="H220" t="s">
        <v>37</v>
      </c>
      <c r="I220" t="s">
        <v>35</v>
      </c>
      <c r="J220" t="s">
        <v>20</v>
      </c>
      <c r="K220" t="str">
        <f>TEXT(sales[[#This Row],[Date]],"mmm")</f>
        <v>Dec</v>
      </c>
      <c r="L220" t="str">
        <f>TEXT(sales[[#This Row],[Date]],"ddd")</f>
        <v>Thu</v>
      </c>
    </row>
    <row r="221" spans="1:12" x14ac:dyDescent="0.3">
      <c r="A221">
        <v>10679</v>
      </c>
      <c r="B221" s="1">
        <v>44917</v>
      </c>
      <c r="C221" t="s">
        <v>17</v>
      </c>
      <c r="D221" s="4">
        <v>4.99</v>
      </c>
      <c r="E221" s="7">
        <v>200.4</v>
      </c>
      <c r="F221" s="4">
        <f t="shared" si="3"/>
        <v>999.99600000000009</v>
      </c>
      <c r="G221" t="s">
        <v>18</v>
      </c>
      <c r="H221" t="s">
        <v>37</v>
      </c>
      <c r="I221" t="s">
        <v>35</v>
      </c>
      <c r="J221" t="s">
        <v>20</v>
      </c>
      <c r="K221" t="str">
        <f>TEXT(sales[[#This Row],[Date]],"mmm")</f>
        <v>Dec</v>
      </c>
      <c r="L221" t="str">
        <f>TEXT(sales[[#This Row],[Date]],"ddd")</f>
        <v>Thu</v>
      </c>
    </row>
    <row r="222" spans="1:12" x14ac:dyDescent="0.3">
      <c r="A222">
        <v>10680</v>
      </c>
      <c r="B222" s="1">
        <v>44918</v>
      </c>
      <c r="C222" t="s">
        <v>21</v>
      </c>
      <c r="D222" s="4">
        <v>12.99</v>
      </c>
      <c r="E222" s="7">
        <v>646.65</v>
      </c>
      <c r="F222" s="4">
        <f t="shared" si="3"/>
        <v>8399.9835000000003</v>
      </c>
      <c r="G222" t="s">
        <v>18</v>
      </c>
      <c r="H222" t="s">
        <v>37</v>
      </c>
      <c r="I222" t="s">
        <v>35</v>
      </c>
      <c r="J222" t="s">
        <v>20</v>
      </c>
      <c r="K222" t="str">
        <f>TEXT(sales[[#This Row],[Date]],"mmm")</f>
        <v>Dec</v>
      </c>
      <c r="L222" t="str">
        <f>TEXT(sales[[#This Row],[Date]],"ddd")</f>
        <v>Fri</v>
      </c>
    </row>
    <row r="223" spans="1:12" x14ac:dyDescent="0.3">
      <c r="A223">
        <v>10681</v>
      </c>
      <c r="B223" s="1">
        <v>44918</v>
      </c>
      <c r="C223" t="s">
        <v>25</v>
      </c>
      <c r="D223" s="4">
        <v>9.9499999999999993</v>
      </c>
      <c r="E223" s="7">
        <v>241.21</v>
      </c>
      <c r="F223" s="4">
        <f t="shared" si="3"/>
        <v>2400.0394999999999</v>
      </c>
      <c r="G223" t="s">
        <v>18</v>
      </c>
      <c r="H223" t="s">
        <v>37</v>
      </c>
      <c r="I223" t="s">
        <v>35</v>
      </c>
      <c r="J223" t="s">
        <v>20</v>
      </c>
      <c r="K223" t="str">
        <f>TEXT(sales[[#This Row],[Date]],"mmm")</f>
        <v>Dec</v>
      </c>
      <c r="L223" t="str">
        <f>TEXT(sales[[#This Row],[Date]],"ddd")</f>
        <v>Fri</v>
      </c>
    </row>
    <row r="224" spans="1:12" x14ac:dyDescent="0.3">
      <c r="A224">
        <v>10682</v>
      </c>
      <c r="B224" s="1">
        <v>44918</v>
      </c>
      <c r="C224" t="s">
        <v>9</v>
      </c>
      <c r="D224" s="4">
        <v>3.49</v>
      </c>
      <c r="E224" s="7">
        <v>630.37</v>
      </c>
      <c r="F224" s="4">
        <f t="shared" si="3"/>
        <v>2199.9913000000001</v>
      </c>
      <c r="G224" t="s">
        <v>18</v>
      </c>
      <c r="H224" t="s">
        <v>37</v>
      </c>
      <c r="I224" t="s">
        <v>35</v>
      </c>
      <c r="J224" t="s">
        <v>20</v>
      </c>
      <c r="K224" t="str">
        <f>TEXT(sales[[#This Row],[Date]],"mmm")</f>
        <v>Dec</v>
      </c>
      <c r="L224" t="str">
        <f>TEXT(sales[[#This Row],[Date]],"ddd")</f>
        <v>Fri</v>
      </c>
    </row>
    <row r="225" spans="1:12" x14ac:dyDescent="0.3">
      <c r="A225">
        <v>10683</v>
      </c>
      <c r="B225" s="1">
        <v>44918</v>
      </c>
      <c r="C225" t="s">
        <v>14</v>
      </c>
      <c r="D225" s="4">
        <v>2.95</v>
      </c>
      <c r="E225" s="7">
        <v>677.97</v>
      </c>
      <c r="F225" s="4">
        <f t="shared" si="3"/>
        <v>2000.0115000000003</v>
      </c>
      <c r="G225" t="s">
        <v>18</v>
      </c>
      <c r="H225" t="s">
        <v>37</v>
      </c>
      <c r="I225" t="s">
        <v>35</v>
      </c>
      <c r="J225" t="s">
        <v>20</v>
      </c>
      <c r="K225" t="str">
        <f>TEXT(sales[[#This Row],[Date]],"mmm")</f>
        <v>Dec</v>
      </c>
      <c r="L225" t="str">
        <f>TEXT(sales[[#This Row],[Date]],"ddd")</f>
        <v>Fri</v>
      </c>
    </row>
    <row r="226" spans="1:12" x14ac:dyDescent="0.3">
      <c r="A226">
        <v>10684</v>
      </c>
      <c r="B226" s="1">
        <v>44918</v>
      </c>
      <c r="C226" t="s">
        <v>17</v>
      </c>
      <c r="D226" s="4">
        <v>4.99</v>
      </c>
      <c r="E226" s="7">
        <v>200.4</v>
      </c>
      <c r="F226" s="4">
        <f t="shared" si="3"/>
        <v>999.99600000000009</v>
      </c>
      <c r="G226" t="s">
        <v>18</v>
      </c>
      <c r="H226" t="s">
        <v>37</v>
      </c>
      <c r="I226" t="s">
        <v>35</v>
      </c>
      <c r="J226" t="s">
        <v>20</v>
      </c>
      <c r="K226" t="str">
        <f>TEXT(sales[[#This Row],[Date]],"mmm")</f>
        <v>Dec</v>
      </c>
      <c r="L226" t="str">
        <f>TEXT(sales[[#This Row],[Date]],"ddd")</f>
        <v>Fri</v>
      </c>
    </row>
    <row r="227" spans="1:12" x14ac:dyDescent="0.3">
      <c r="A227">
        <v>10685</v>
      </c>
      <c r="B227" s="1">
        <v>44919</v>
      </c>
      <c r="C227" t="s">
        <v>21</v>
      </c>
      <c r="D227" s="4">
        <v>12.99</v>
      </c>
      <c r="E227" s="7">
        <v>677.44</v>
      </c>
      <c r="F227" s="4">
        <f t="shared" si="3"/>
        <v>8799.9456000000009</v>
      </c>
      <c r="G227" t="s">
        <v>18</v>
      </c>
      <c r="H227" t="s">
        <v>37</v>
      </c>
      <c r="I227" t="s">
        <v>35</v>
      </c>
      <c r="J227" t="s">
        <v>20</v>
      </c>
      <c r="K227" t="str">
        <f>TEXT(sales[[#This Row],[Date]],"mmm")</f>
        <v>Dec</v>
      </c>
      <c r="L227" t="str">
        <f>TEXT(sales[[#This Row],[Date]],"ddd")</f>
        <v>Sat</v>
      </c>
    </row>
    <row r="228" spans="1:12" x14ac:dyDescent="0.3">
      <c r="A228">
        <v>10686</v>
      </c>
      <c r="B228" s="1">
        <v>44919</v>
      </c>
      <c r="C228" t="s">
        <v>25</v>
      </c>
      <c r="D228" s="4">
        <v>9.9499999999999993</v>
      </c>
      <c r="E228" s="7">
        <v>241.21</v>
      </c>
      <c r="F228" s="4">
        <f t="shared" si="3"/>
        <v>2400.0394999999999</v>
      </c>
      <c r="G228" t="s">
        <v>18</v>
      </c>
      <c r="H228" t="s">
        <v>37</v>
      </c>
      <c r="I228" t="s">
        <v>35</v>
      </c>
      <c r="J228" t="s">
        <v>20</v>
      </c>
      <c r="K228" t="str">
        <f>TEXT(sales[[#This Row],[Date]],"mmm")</f>
        <v>Dec</v>
      </c>
      <c r="L228" t="str">
        <f>TEXT(sales[[#This Row],[Date]],"ddd")</f>
        <v>Sat</v>
      </c>
    </row>
    <row r="229" spans="1:12" x14ac:dyDescent="0.3">
      <c r="A229">
        <v>10687</v>
      </c>
      <c r="B229" s="1">
        <v>44919</v>
      </c>
      <c r="C229" t="s">
        <v>9</v>
      </c>
      <c r="D229" s="4">
        <v>3.49</v>
      </c>
      <c r="E229" s="7">
        <v>630.37</v>
      </c>
      <c r="F229" s="4">
        <f t="shared" si="3"/>
        <v>2199.9913000000001</v>
      </c>
      <c r="G229" t="s">
        <v>18</v>
      </c>
      <c r="H229" t="s">
        <v>37</v>
      </c>
      <c r="I229" t="s">
        <v>23</v>
      </c>
      <c r="J229" t="s">
        <v>24</v>
      </c>
      <c r="K229" t="str">
        <f>TEXT(sales[[#This Row],[Date]],"mmm")</f>
        <v>Dec</v>
      </c>
      <c r="L229" t="str">
        <f>TEXT(sales[[#This Row],[Date]],"ddd")</f>
        <v>Sat</v>
      </c>
    </row>
    <row r="230" spans="1:12" x14ac:dyDescent="0.3">
      <c r="A230">
        <v>10688</v>
      </c>
      <c r="B230" s="1">
        <v>44919</v>
      </c>
      <c r="C230" t="s">
        <v>14</v>
      </c>
      <c r="D230" s="4">
        <v>2.95</v>
      </c>
      <c r="E230" s="7">
        <v>677.97</v>
      </c>
      <c r="F230" s="4">
        <f t="shared" si="3"/>
        <v>2000.0115000000003</v>
      </c>
      <c r="G230" t="s">
        <v>18</v>
      </c>
      <c r="H230" t="s">
        <v>37</v>
      </c>
      <c r="I230" t="s">
        <v>23</v>
      </c>
      <c r="J230" t="s">
        <v>24</v>
      </c>
      <c r="K230" t="str">
        <f>TEXT(sales[[#This Row],[Date]],"mmm")</f>
        <v>Dec</v>
      </c>
      <c r="L230" t="str">
        <f>TEXT(sales[[#This Row],[Date]],"ddd")</f>
        <v>Sat</v>
      </c>
    </row>
    <row r="231" spans="1:12" x14ac:dyDescent="0.3">
      <c r="A231">
        <v>10689</v>
      </c>
      <c r="B231" s="1">
        <v>44919</v>
      </c>
      <c r="C231" t="s">
        <v>17</v>
      </c>
      <c r="D231" s="4">
        <v>4.99</v>
      </c>
      <c r="E231" s="7">
        <v>200.4</v>
      </c>
      <c r="F231" s="4">
        <f t="shared" si="3"/>
        <v>999.99600000000009</v>
      </c>
      <c r="G231" t="s">
        <v>18</v>
      </c>
      <c r="H231" t="s">
        <v>37</v>
      </c>
      <c r="I231" t="s">
        <v>23</v>
      </c>
      <c r="J231" t="s">
        <v>24</v>
      </c>
      <c r="K231" t="str">
        <f>TEXT(sales[[#This Row],[Date]],"mmm")</f>
        <v>Dec</v>
      </c>
      <c r="L231" t="str">
        <f>TEXT(sales[[#This Row],[Date]],"ddd")</f>
        <v>Sat</v>
      </c>
    </row>
    <row r="232" spans="1:12" x14ac:dyDescent="0.3">
      <c r="A232">
        <v>10690</v>
      </c>
      <c r="B232" s="1">
        <v>44920</v>
      </c>
      <c r="C232" t="s">
        <v>21</v>
      </c>
      <c r="D232" s="4">
        <v>12.99</v>
      </c>
      <c r="E232" s="7">
        <v>677.44</v>
      </c>
      <c r="F232" s="4">
        <f t="shared" si="3"/>
        <v>8799.9456000000009</v>
      </c>
      <c r="G232" t="s">
        <v>18</v>
      </c>
      <c r="H232" t="s">
        <v>37</v>
      </c>
      <c r="I232" t="s">
        <v>23</v>
      </c>
      <c r="J232" t="s">
        <v>24</v>
      </c>
      <c r="K232" t="str">
        <f>TEXT(sales[[#This Row],[Date]],"mmm")</f>
        <v>Dec</v>
      </c>
      <c r="L232" t="str">
        <f>TEXT(sales[[#This Row],[Date]],"ddd")</f>
        <v>Sun</v>
      </c>
    </row>
    <row r="233" spans="1:12" x14ac:dyDescent="0.3">
      <c r="A233">
        <v>10691</v>
      </c>
      <c r="B233" s="1">
        <v>44920</v>
      </c>
      <c r="C233" t="s">
        <v>25</v>
      </c>
      <c r="D233" s="4">
        <v>9.9499999999999993</v>
      </c>
      <c r="E233" s="7">
        <v>261.31</v>
      </c>
      <c r="F233" s="4">
        <f t="shared" si="3"/>
        <v>2600.0344999999998</v>
      </c>
      <c r="G233" t="s">
        <v>18</v>
      </c>
      <c r="H233" t="s">
        <v>37</v>
      </c>
      <c r="I233" t="s">
        <v>23</v>
      </c>
      <c r="J233" t="s">
        <v>24</v>
      </c>
      <c r="K233" t="str">
        <f>TEXT(sales[[#This Row],[Date]],"mmm")</f>
        <v>Dec</v>
      </c>
      <c r="L233" t="str">
        <f>TEXT(sales[[#This Row],[Date]],"ddd")</f>
        <v>Sun</v>
      </c>
    </row>
    <row r="234" spans="1:12" x14ac:dyDescent="0.3">
      <c r="A234">
        <v>10692</v>
      </c>
      <c r="B234" s="1">
        <v>44920</v>
      </c>
      <c r="C234" t="s">
        <v>9</v>
      </c>
      <c r="D234" s="4">
        <v>3.49</v>
      </c>
      <c r="E234" s="7">
        <v>630.37</v>
      </c>
      <c r="F234" s="4">
        <f t="shared" si="3"/>
        <v>2199.9913000000001</v>
      </c>
      <c r="G234" t="s">
        <v>18</v>
      </c>
      <c r="H234" t="s">
        <v>37</v>
      </c>
      <c r="I234" t="s">
        <v>23</v>
      </c>
      <c r="J234" t="s">
        <v>24</v>
      </c>
      <c r="K234" t="str">
        <f>TEXT(sales[[#This Row],[Date]],"mmm")</f>
        <v>Dec</v>
      </c>
      <c r="L234" t="str">
        <f>TEXT(sales[[#This Row],[Date]],"ddd")</f>
        <v>Sun</v>
      </c>
    </row>
    <row r="235" spans="1:12" x14ac:dyDescent="0.3">
      <c r="A235">
        <v>10693</v>
      </c>
      <c r="B235" s="1">
        <v>44920</v>
      </c>
      <c r="C235" t="s">
        <v>14</v>
      </c>
      <c r="D235" s="4">
        <v>2.95</v>
      </c>
      <c r="E235" s="7">
        <v>677.97</v>
      </c>
      <c r="F235" s="4">
        <f t="shared" si="3"/>
        <v>2000.0115000000003</v>
      </c>
      <c r="G235" t="s">
        <v>18</v>
      </c>
      <c r="H235" t="s">
        <v>37</v>
      </c>
      <c r="I235" t="s">
        <v>23</v>
      </c>
      <c r="J235" t="s">
        <v>24</v>
      </c>
      <c r="K235" t="str">
        <f>TEXT(sales[[#This Row],[Date]],"mmm")</f>
        <v>Dec</v>
      </c>
      <c r="L235" t="str">
        <f>TEXT(sales[[#This Row],[Date]],"ddd")</f>
        <v>Sun</v>
      </c>
    </row>
    <row r="236" spans="1:12" x14ac:dyDescent="0.3">
      <c r="A236">
        <v>10694</v>
      </c>
      <c r="B236" s="1">
        <v>44920</v>
      </c>
      <c r="C236" t="s">
        <v>17</v>
      </c>
      <c r="D236" s="4">
        <v>4.99</v>
      </c>
      <c r="E236" s="7">
        <v>200.4</v>
      </c>
      <c r="F236" s="4">
        <f t="shared" si="3"/>
        <v>999.99600000000009</v>
      </c>
      <c r="G236" t="s">
        <v>18</v>
      </c>
      <c r="H236" t="s">
        <v>37</v>
      </c>
      <c r="I236" t="s">
        <v>23</v>
      </c>
      <c r="J236" t="s">
        <v>24</v>
      </c>
      <c r="K236" t="str">
        <f>TEXT(sales[[#This Row],[Date]],"mmm")</f>
        <v>Dec</v>
      </c>
      <c r="L236" t="str">
        <f>TEXT(sales[[#This Row],[Date]],"ddd")</f>
        <v>Sun</v>
      </c>
    </row>
    <row r="237" spans="1:12" x14ac:dyDescent="0.3">
      <c r="A237">
        <v>10695</v>
      </c>
      <c r="B237" s="1">
        <v>44921</v>
      </c>
      <c r="C237" t="s">
        <v>21</v>
      </c>
      <c r="D237" s="4">
        <v>12.99</v>
      </c>
      <c r="E237" s="7">
        <v>692.84</v>
      </c>
      <c r="F237" s="4">
        <f t="shared" si="3"/>
        <v>8999.9916000000012</v>
      </c>
      <c r="G237" t="s">
        <v>18</v>
      </c>
      <c r="H237" t="s">
        <v>37</v>
      </c>
      <c r="I237" t="s">
        <v>23</v>
      </c>
      <c r="J237" t="s">
        <v>24</v>
      </c>
      <c r="K237" t="str">
        <f>TEXT(sales[[#This Row],[Date]],"mmm")</f>
        <v>Dec</v>
      </c>
      <c r="L237" t="str">
        <f>TEXT(sales[[#This Row],[Date]],"ddd")</f>
        <v>Mon</v>
      </c>
    </row>
    <row r="238" spans="1:12" x14ac:dyDescent="0.3">
      <c r="A238">
        <v>10696</v>
      </c>
      <c r="B238" s="1">
        <v>44921</v>
      </c>
      <c r="C238" t="s">
        <v>25</v>
      </c>
      <c r="D238" s="4">
        <v>9.9499999999999993</v>
      </c>
      <c r="E238" s="7">
        <v>281.41000000000003</v>
      </c>
      <c r="F238" s="4">
        <f t="shared" si="3"/>
        <v>2800.0295000000001</v>
      </c>
      <c r="G238" t="s">
        <v>18</v>
      </c>
      <c r="H238" t="s">
        <v>37</v>
      </c>
      <c r="I238" t="s">
        <v>23</v>
      </c>
      <c r="J238" t="s">
        <v>24</v>
      </c>
      <c r="K238" t="str">
        <f>TEXT(sales[[#This Row],[Date]],"mmm")</f>
        <v>Dec</v>
      </c>
      <c r="L238" t="str">
        <f>TEXT(sales[[#This Row],[Date]],"ddd")</f>
        <v>Mon</v>
      </c>
    </row>
    <row r="239" spans="1:12" x14ac:dyDescent="0.3">
      <c r="A239">
        <v>10697</v>
      </c>
      <c r="B239" s="1">
        <v>44921</v>
      </c>
      <c r="C239" t="s">
        <v>9</v>
      </c>
      <c r="D239" s="4">
        <v>3.49</v>
      </c>
      <c r="E239" s="7">
        <v>630.37</v>
      </c>
      <c r="F239" s="4">
        <f t="shared" si="3"/>
        <v>2199.9913000000001</v>
      </c>
      <c r="G239" t="s">
        <v>18</v>
      </c>
      <c r="H239" t="s">
        <v>37</v>
      </c>
      <c r="I239" t="s">
        <v>23</v>
      </c>
      <c r="J239" t="s">
        <v>24</v>
      </c>
      <c r="K239" t="str">
        <f>TEXT(sales[[#This Row],[Date]],"mmm")</f>
        <v>Dec</v>
      </c>
      <c r="L239" t="str">
        <f>TEXT(sales[[#This Row],[Date]],"ddd")</f>
        <v>Mon</v>
      </c>
    </row>
    <row r="240" spans="1:12" x14ac:dyDescent="0.3">
      <c r="A240">
        <v>10698</v>
      </c>
      <c r="B240" s="1">
        <v>44921</v>
      </c>
      <c r="C240" t="s">
        <v>14</v>
      </c>
      <c r="D240" s="4">
        <v>2.95</v>
      </c>
      <c r="E240" s="7">
        <v>677.97</v>
      </c>
      <c r="F240" s="4">
        <f t="shared" si="3"/>
        <v>2000.0115000000003</v>
      </c>
      <c r="G240" t="s">
        <v>18</v>
      </c>
      <c r="H240" t="s">
        <v>37</v>
      </c>
      <c r="I240" t="s">
        <v>23</v>
      </c>
      <c r="J240" t="s">
        <v>24</v>
      </c>
      <c r="K240" t="str">
        <f>TEXT(sales[[#This Row],[Date]],"mmm")</f>
        <v>Dec</v>
      </c>
      <c r="L240" t="str">
        <f>TEXT(sales[[#This Row],[Date]],"ddd")</f>
        <v>Mon</v>
      </c>
    </row>
    <row r="241" spans="1:12" x14ac:dyDescent="0.3">
      <c r="A241">
        <v>10699</v>
      </c>
      <c r="B241" s="1">
        <v>44921</v>
      </c>
      <c r="C241" t="s">
        <v>17</v>
      </c>
      <c r="D241" s="4">
        <v>4.99</v>
      </c>
      <c r="E241" s="7">
        <v>200.4</v>
      </c>
      <c r="F241" s="4">
        <f t="shared" si="3"/>
        <v>999.99600000000009</v>
      </c>
      <c r="G241" t="s">
        <v>18</v>
      </c>
      <c r="H241" t="s">
        <v>37</v>
      </c>
      <c r="I241" t="s">
        <v>23</v>
      </c>
      <c r="J241" t="s">
        <v>24</v>
      </c>
      <c r="K241" t="str">
        <f>TEXT(sales[[#This Row],[Date]],"mmm")</f>
        <v>Dec</v>
      </c>
      <c r="L241" t="str">
        <f>TEXT(sales[[#This Row],[Date]],"ddd")</f>
        <v>Mon</v>
      </c>
    </row>
    <row r="242" spans="1:12" x14ac:dyDescent="0.3">
      <c r="A242">
        <v>10700</v>
      </c>
      <c r="B242" s="1">
        <v>44922</v>
      </c>
      <c r="C242" t="s">
        <v>21</v>
      </c>
      <c r="D242" s="4">
        <v>12.99</v>
      </c>
      <c r="E242" s="7">
        <v>692.84</v>
      </c>
      <c r="F242" s="4">
        <f t="shared" si="3"/>
        <v>8999.9916000000012</v>
      </c>
      <c r="G242" t="s">
        <v>18</v>
      </c>
      <c r="H242" t="s">
        <v>37</v>
      </c>
      <c r="I242" t="s">
        <v>23</v>
      </c>
      <c r="J242" t="s">
        <v>24</v>
      </c>
      <c r="K242" t="str">
        <f>TEXT(sales[[#This Row],[Date]],"mmm")</f>
        <v>Dec</v>
      </c>
      <c r="L242" t="str">
        <f>TEXT(sales[[#This Row],[Date]],"ddd")</f>
        <v>Tue</v>
      </c>
    </row>
    <row r="243" spans="1:12" x14ac:dyDescent="0.3">
      <c r="A243">
        <v>10701</v>
      </c>
      <c r="B243" s="1">
        <v>44922</v>
      </c>
      <c r="C243" t="s">
        <v>25</v>
      </c>
      <c r="D243" s="4">
        <v>9.9499999999999993</v>
      </c>
      <c r="E243" s="7">
        <v>281.41000000000003</v>
      </c>
      <c r="F243" s="4">
        <f t="shared" si="3"/>
        <v>2800.0295000000001</v>
      </c>
      <c r="G243" t="s">
        <v>18</v>
      </c>
      <c r="H243" t="s">
        <v>37</v>
      </c>
      <c r="I243" t="s">
        <v>23</v>
      </c>
      <c r="J243" t="s">
        <v>24</v>
      </c>
      <c r="K243" t="str">
        <f>TEXT(sales[[#This Row],[Date]],"mmm")</f>
        <v>Dec</v>
      </c>
      <c r="L243" t="str">
        <f>TEXT(sales[[#This Row],[Date]],"ddd")</f>
        <v>Tue</v>
      </c>
    </row>
    <row r="244" spans="1:12" x14ac:dyDescent="0.3">
      <c r="A244">
        <v>10702</v>
      </c>
      <c r="B244" s="1">
        <v>44922</v>
      </c>
      <c r="C244" t="s">
        <v>9</v>
      </c>
      <c r="D244" s="4">
        <v>3.49</v>
      </c>
      <c r="E244" s="7">
        <v>630.37</v>
      </c>
      <c r="F244" s="4">
        <f t="shared" si="3"/>
        <v>2199.9913000000001</v>
      </c>
      <c r="G244" t="s">
        <v>18</v>
      </c>
      <c r="H244" t="s">
        <v>37</v>
      </c>
      <c r="I244" t="s">
        <v>23</v>
      </c>
      <c r="J244" t="s">
        <v>24</v>
      </c>
      <c r="K244" t="str">
        <f>TEXT(sales[[#This Row],[Date]],"mmm")</f>
        <v>Dec</v>
      </c>
      <c r="L244" t="str">
        <f>TEXT(sales[[#This Row],[Date]],"ddd")</f>
        <v>Tue</v>
      </c>
    </row>
    <row r="245" spans="1:12" x14ac:dyDescent="0.3">
      <c r="A245">
        <v>10703</v>
      </c>
      <c r="B245" s="1">
        <v>44922</v>
      </c>
      <c r="C245" t="s">
        <v>14</v>
      </c>
      <c r="D245" s="4">
        <v>2.95</v>
      </c>
      <c r="E245" s="7">
        <v>677.97</v>
      </c>
      <c r="F245" s="4">
        <f t="shared" si="3"/>
        <v>2000.0115000000003</v>
      </c>
      <c r="G245" t="s">
        <v>18</v>
      </c>
      <c r="H245" t="s">
        <v>11</v>
      </c>
      <c r="I245" t="s">
        <v>23</v>
      </c>
      <c r="J245" t="s">
        <v>24</v>
      </c>
      <c r="K245" t="str">
        <f>TEXT(sales[[#This Row],[Date]],"mmm")</f>
        <v>Dec</v>
      </c>
      <c r="L245" t="str">
        <f>TEXT(sales[[#This Row],[Date]],"ddd")</f>
        <v>Tue</v>
      </c>
    </row>
    <row r="246" spans="1:12" x14ac:dyDescent="0.3">
      <c r="A246">
        <v>10704</v>
      </c>
      <c r="B246" s="1">
        <v>44922</v>
      </c>
      <c r="C246" t="s">
        <v>17</v>
      </c>
      <c r="D246" s="4">
        <v>4.99</v>
      </c>
      <c r="E246" s="7">
        <v>200.4</v>
      </c>
      <c r="F246" s="4">
        <f t="shared" si="3"/>
        <v>999.99600000000009</v>
      </c>
      <c r="G246" t="s">
        <v>36</v>
      </c>
      <c r="H246" t="s">
        <v>11</v>
      </c>
      <c r="I246" t="s">
        <v>23</v>
      </c>
      <c r="J246" t="s">
        <v>24</v>
      </c>
      <c r="K246" t="str">
        <f>TEXT(sales[[#This Row],[Date]],"mmm")</f>
        <v>Dec</v>
      </c>
      <c r="L246" t="str">
        <f>TEXT(sales[[#This Row],[Date]],"ddd")</f>
        <v>Tue</v>
      </c>
    </row>
    <row r="247" spans="1:12" x14ac:dyDescent="0.3">
      <c r="A247">
        <v>10705</v>
      </c>
      <c r="B247" s="1">
        <v>44923</v>
      </c>
      <c r="C247" t="s">
        <v>21</v>
      </c>
      <c r="D247" s="4">
        <v>12.99</v>
      </c>
      <c r="E247" s="7">
        <v>723.63</v>
      </c>
      <c r="F247" s="4">
        <f t="shared" si="3"/>
        <v>9399.9537</v>
      </c>
      <c r="G247" t="s">
        <v>36</v>
      </c>
      <c r="H247" t="s">
        <v>11</v>
      </c>
      <c r="I247" t="s">
        <v>23</v>
      </c>
      <c r="J247" t="s">
        <v>24</v>
      </c>
      <c r="K247" t="str">
        <f>TEXT(sales[[#This Row],[Date]],"mmm")</f>
        <v>Dec</v>
      </c>
      <c r="L247" t="str">
        <f>TEXT(sales[[#This Row],[Date]],"ddd")</f>
        <v>Wed</v>
      </c>
    </row>
    <row r="248" spans="1:12" x14ac:dyDescent="0.3">
      <c r="A248">
        <v>10706</v>
      </c>
      <c r="B248" s="1">
        <v>44923</v>
      </c>
      <c r="C248" t="s">
        <v>25</v>
      </c>
      <c r="D248" s="4">
        <v>9.9499999999999993</v>
      </c>
      <c r="E248" s="7">
        <v>301.51</v>
      </c>
      <c r="F248" s="4">
        <f t="shared" si="3"/>
        <v>3000.0244999999995</v>
      </c>
      <c r="G248" t="s">
        <v>36</v>
      </c>
      <c r="H248" t="s">
        <v>11</v>
      </c>
      <c r="I248" t="s">
        <v>23</v>
      </c>
      <c r="J248" t="s">
        <v>24</v>
      </c>
      <c r="K248" t="str">
        <f>TEXT(sales[[#This Row],[Date]],"mmm")</f>
        <v>Dec</v>
      </c>
      <c r="L248" t="str">
        <f>TEXT(sales[[#This Row],[Date]],"ddd")</f>
        <v>Wed</v>
      </c>
    </row>
    <row r="249" spans="1:12" x14ac:dyDescent="0.3">
      <c r="A249">
        <v>10707</v>
      </c>
      <c r="B249" s="1">
        <v>44923</v>
      </c>
      <c r="C249" t="s">
        <v>9</v>
      </c>
      <c r="D249" s="4">
        <v>3.49</v>
      </c>
      <c r="E249" s="7">
        <v>630.37</v>
      </c>
      <c r="F249" s="4">
        <f t="shared" si="3"/>
        <v>2199.9913000000001</v>
      </c>
      <c r="G249" t="s">
        <v>36</v>
      </c>
      <c r="H249" t="s">
        <v>11</v>
      </c>
      <c r="I249" t="s">
        <v>23</v>
      </c>
      <c r="J249" t="s">
        <v>24</v>
      </c>
      <c r="K249" t="str">
        <f>TEXT(sales[[#This Row],[Date]],"mmm")</f>
        <v>Dec</v>
      </c>
      <c r="L249" t="str">
        <f>TEXT(sales[[#This Row],[Date]],"ddd")</f>
        <v>Wed</v>
      </c>
    </row>
    <row r="250" spans="1:12" x14ac:dyDescent="0.3">
      <c r="A250">
        <v>10708</v>
      </c>
      <c r="B250" s="1">
        <v>44923</v>
      </c>
      <c r="C250" t="s">
        <v>14</v>
      </c>
      <c r="D250" s="4">
        <v>2.95</v>
      </c>
      <c r="E250" s="7">
        <v>677.97</v>
      </c>
      <c r="F250" s="4">
        <f t="shared" si="3"/>
        <v>2000.0115000000003</v>
      </c>
      <c r="G250" t="s">
        <v>36</v>
      </c>
      <c r="H250" t="s">
        <v>11</v>
      </c>
      <c r="I250" t="s">
        <v>23</v>
      </c>
      <c r="J250" t="s">
        <v>24</v>
      </c>
      <c r="K250" t="str">
        <f>TEXT(sales[[#This Row],[Date]],"mmm")</f>
        <v>Dec</v>
      </c>
      <c r="L250" t="str">
        <f>TEXT(sales[[#This Row],[Date]],"ddd")</f>
        <v>Wed</v>
      </c>
    </row>
    <row r="251" spans="1:12" x14ac:dyDescent="0.3">
      <c r="A251">
        <v>10709</v>
      </c>
      <c r="B251" s="1">
        <v>44923</v>
      </c>
      <c r="C251" t="s">
        <v>17</v>
      </c>
      <c r="D251" s="4">
        <v>4.99</v>
      </c>
      <c r="E251" s="7">
        <v>200.4</v>
      </c>
      <c r="F251" s="4">
        <f t="shared" si="3"/>
        <v>999.99600000000009</v>
      </c>
      <c r="G251" t="s">
        <v>36</v>
      </c>
      <c r="H251" t="s">
        <v>11</v>
      </c>
      <c r="I251" t="s">
        <v>23</v>
      </c>
      <c r="J251" t="s">
        <v>24</v>
      </c>
      <c r="K251" t="str">
        <f>TEXT(sales[[#This Row],[Date]],"mmm")</f>
        <v>Dec</v>
      </c>
      <c r="L251" t="str">
        <f>TEXT(sales[[#This Row],[Date]],"ddd")</f>
        <v>Wed</v>
      </c>
    </row>
    <row r="252" spans="1:12" x14ac:dyDescent="0.3">
      <c r="A252">
        <v>10710</v>
      </c>
      <c r="B252" s="1">
        <v>44924</v>
      </c>
      <c r="C252" t="s">
        <v>21</v>
      </c>
      <c r="D252" s="4">
        <v>12.99</v>
      </c>
      <c r="E252" s="7">
        <v>754.43</v>
      </c>
      <c r="F252" s="4">
        <f t="shared" si="3"/>
        <v>9800.0456999999988</v>
      </c>
      <c r="G252" t="s">
        <v>36</v>
      </c>
      <c r="H252" t="s">
        <v>11</v>
      </c>
      <c r="I252" t="s">
        <v>23</v>
      </c>
      <c r="J252" t="s">
        <v>24</v>
      </c>
      <c r="K252" t="str">
        <f>TEXT(sales[[#This Row],[Date]],"mmm")</f>
        <v>Dec</v>
      </c>
      <c r="L252" t="str">
        <f>TEXT(sales[[#This Row],[Date]],"ddd")</f>
        <v>Thu</v>
      </c>
    </row>
    <row r="253" spans="1:12" x14ac:dyDescent="0.3">
      <c r="A253">
        <v>10711</v>
      </c>
      <c r="B253" s="1">
        <v>44924</v>
      </c>
      <c r="C253" t="s">
        <v>25</v>
      </c>
      <c r="D253" s="4">
        <v>9.9499999999999993</v>
      </c>
      <c r="E253" s="7">
        <v>281.41000000000003</v>
      </c>
      <c r="F253" s="4">
        <f t="shared" si="3"/>
        <v>2800.0295000000001</v>
      </c>
      <c r="G253" t="s">
        <v>36</v>
      </c>
      <c r="H253" t="s">
        <v>11</v>
      </c>
      <c r="I253" t="s">
        <v>23</v>
      </c>
      <c r="J253" t="s">
        <v>24</v>
      </c>
      <c r="K253" t="str">
        <f>TEXT(sales[[#This Row],[Date]],"mmm")</f>
        <v>Dec</v>
      </c>
      <c r="L253" t="str">
        <f>TEXT(sales[[#This Row],[Date]],"ddd")</f>
        <v>Thu</v>
      </c>
    </row>
    <row r="254" spans="1:12" x14ac:dyDescent="0.3">
      <c r="A254">
        <v>10712</v>
      </c>
      <c r="B254" s="1">
        <v>44924</v>
      </c>
      <c r="C254" t="s">
        <v>9</v>
      </c>
      <c r="D254" s="4">
        <v>3.49</v>
      </c>
      <c r="E254" s="7">
        <v>630.37</v>
      </c>
      <c r="F254" s="4">
        <f t="shared" si="3"/>
        <v>2199.9913000000001</v>
      </c>
      <c r="G254" t="s">
        <v>36</v>
      </c>
      <c r="H254" t="s">
        <v>11</v>
      </c>
      <c r="I254" t="s">
        <v>23</v>
      </c>
      <c r="J254" t="s">
        <v>24</v>
      </c>
      <c r="K254" t="str">
        <f>TEXT(sales[[#This Row],[Date]],"mmm")</f>
        <v>Dec</v>
      </c>
      <c r="L254" t="str">
        <f>TEXT(sales[[#This Row],[Date]],"ddd")</f>
        <v>Thu</v>
      </c>
    </row>
    <row r="255" spans="1:12" x14ac:dyDescent="0.3">
      <c r="A255">
        <v>10713</v>
      </c>
      <c r="B255" s="1">
        <v>44924</v>
      </c>
      <c r="C255" t="s">
        <v>14</v>
      </c>
      <c r="D255" s="4">
        <v>2.95</v>
      </c>
      <c r="E255" s="7">
        <v>677.97</v>
      </c>
      <c r="F255" s="4">
        <f t="shared" si="3"/>
        <v>2000.0115000000003</v>
      </c>
      <c r="G255" t="s">
        <v>36</v>
      </c>
      <c r="H255" t="s">
        <v>11</v>
      </c>
      <c r="I255" t="s">
        <v>23</v>
      </c>
      <c r="J255" t="s">
        <v>24</v>
      </c>
      <c r="K255" t="str">
        <f>TEXT(sales[[#This Row],[Date]],"mmm")</f>
        <v>Dec</v>
      </c>
      <c r="L255" t="str">
        <f>TEXT(sales[[#This Row],[Date]],"ddd")</f>
        <v>Thu</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DDE83-7B64-4CC2-8829-853DB6E6F52C}">
  <dimension ref="F3:K3"/>
  <sheetViews>
    <sheetView showGridLines="0" topLeftCell="A2" workbookViewId="0">
      <selection activeCell="F3" sqref="F3"/>
    </sheetView>
  </sheetViews>
  <sheetFormatPr defaultRowHeight="14" x14ac:dyDescent="0.3"/>
  <sheetData>
    <row r="3" spans="6:11" x14ac:dyDescent="0.3">
      <c r="F3" s="5"/>
      <c r="G3" s="5"/>
      <c r="H3" s="5"/>
      <c r="I3" s="5"/>
      <c r="J3" s="5"/>
      <c r="K3" s="5"/>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83E7B-9ADA-40AF-967C-1F5594977D1B}">
  <dimension ref="F3:K3"/>
  <sheetViews>
    <sheetView showGridLines="0" topLeftCell="A2" workbookViewId="0">
      <selection activeCell="F3" sqref="F3"/>
    </sheetView>
  </sheetViews>
  <sheetFormatPr defaultRowHeight="14" x14ac:dyDescent="0.3"/>
  <sheetData>
    <row r="3" spans="6:11" x14ac:dyDescent="0.3">
      <c r="F3" s="5"/>
      <c r="G3" s="5"/>
      <c r="H3" s="5"/>
      <c r="I3" s="5"/>
      <c r="J3" s="5"/>
      <c r="K3" s="5"/>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EBD4D-8FE5-4649-9821-5B1CBC0BF87C}">
  <dimension ref="A1"/>
  <sheetViews>
    <sheetView showGridLines="0" tabSelected="1" workbookViewId="0">
      <selection activeCell="P64" sqref="P64"/>
    </sheetView>
  </sheetViews>
  <sheetFormatPr defaultRowHeight="14" x14ac:dyDescent="0.3"/>
  <cols>
    <col min="1" max="16384" width="8.796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880-4AF8-4B8F-A1BC-CF04D8E2082F}">
  <dimension ref="F3:K3"/>
  <sheetViews>
    <sheetView showGridLines="0" workbookViewId="0">
      <selection activeCell="I3" sqref="I3"/>
    </sheetView>
  </sheetViews>
  <sheetFormatPr defaultRowHeight="14" x14ac:dyDescent="0.3"/>
  <sheetData>
    <row r="3" spans="6:11" x14ac:dyDescent="0.3">
      <c r="F3" s="5"/>
      <c r="G3" s="5"/>
      <c r="H3" s="5"/>
      <c r="I3" s="5"/>
      <c r="J3" s="5"/>
      <c r="K3" s="5"/>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EB9C2-7A60-485E-A827-0303AA949843}">
  <dimension ref="F3:K3"/>
  <sheetViews>
    <sheetView showGridLines="0" workbookViewId="0">
      <selection activeCell="I3" sqref="I3"/>
    </sheetView>
  </sheetViews>
  <sheetFormatPr defaultRowHeight="14" x14ac:dyDescent="0.3"/>
  <sheetData>
    <row r="3" spans="6:11" x14ac:dyDescent="0.3">
      <c r="F3" s="5"/>
      <c r="G3" s="5"/>
      <c r="H3" s="5"/>
      <c r="I3" s="5"/>
      <c r="J3" s="5"/>
      <c r="K3"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9. Sales-Data-Analysis</vt:lpstr>
      <vt:lpstr>Product by amount</vt:lpstr>
      <vt:lpstr>Purchase Type by Amount</vt:lpstr>
      <vt:lpstr>Payment method by amount</vt:lpstr>
      <vt:lpstr>Performance by Manager</vt:lpstr>
      <vt:lpstr>Performance by City</vt:lpstr>
      <vt:lpstr>Monthly Sales</vt:lpstr>
      <vt:lpstr>Weekly Sales Trends</vt:lpstr>
      <vt:lpstr>Cleaned Data</vt:lpstr>
      <vt:lpstr>Pre-Analysis Board</vt:lpstr>
      <vt:lpstr>In-Analysis Board </vt:lpstr>
      <vt:lpstr>Dashboard</vt:lpstr>
      <vt:lpstr>Observations</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Darlington Ajaezo</cp:lastModifiedBy>
  <dcterms:created xsi:type="dcterms:W3CDTF">2025-08-17T16:28:46Z</dcterms:created>
  <dcterms:modified xsi:type="dcterms:W3CDTF">2025-10-18T12:47:45Z</dcterms:modified>
</cp:coreProperties>
</file>